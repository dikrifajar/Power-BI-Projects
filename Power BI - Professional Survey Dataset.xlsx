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0580452-D8F9-4767-9C78-5922AF1E1DBC}" xr6:coauthVersionLast="47" xr6:coauthVersionMax="47" xr10:uidLastSave="{00000000-0000-0000-0000-000000000000}"/>
  <bookViews>
    <workbookView xWindow="-98" yWindow="-98" windowWidth="22695" windowHeight="13546" activeTab="1" xr2:uid="{00000000-000D-0000-FFFF-FFFF00000000}"/>
  </bookViews>
  <sheets>
    <sheet name="Raw DPS" sheetId="1" r:id="rId1"/>
    <sheet name="Data Professional Survey" sheetId="2" r:id="rId2"/>
  </sheets>
  <definedNames>
    <definedName name="_xlnm._FilterDatabase" localSheetId="1" hidden="1">'Data Professional Survey'!$A$1:$AE$1</definedName>
    <definedName name="_xlnm._FilterDatabase" localSheetId="0" hidden="1">'Raw DPS'!$A$1:$Y$1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2" i="2"/>
  <c r="F631" i="2"/>
  <c r="D631" i="2"/>
  <c r="F630" i="2"/>
  <c r="D630" i="2"/>
  <c r="F629" i="2"/>
  <c r="D629" i="2"/>
  <c r="F628" i="2"/>
  <c r="D628" i="2"/>
  <c r="F627" i="2"/>
  <c r="D627" i="2"/>
  <c r="F626" i="2"/>
  <c r="D626" i="2"/>
  <c r="F625" i="2"/>
  <c r="D625" i="2"/>
  <c r="F624" i="2"/>
  <c r="D624" i="2"/>
  <c r="F623" i="2"/>
  <c r="D623" i="2"/>
  <c r="F622" i="2"/>
  <c r="D622" i="2"/>
  <c r="F621" i="2"/>
  <c r="D621" i="2"/>
  <c r="F620" i="2"/>
  <c r="D620" i="2"/>
  <c r="F619" i="2"/>
  <c r="D619" i="2"/>
  <c r="F618" i="2"/>
  <c r="D618" i="2"/>
  <c r="F617" i="2"/>
  <c r="D617" i="2"/>
  <c r="F616" i="2"/>
  <c r="D616" i="2"/>
  <c r="F615" i="2"/>
  <c r="D615" i="2"/>
  <c r="F614" i="2"/>
  <c r="D614" i="2"/>
  <c r="F613" i="2"/>
  <c r="D613" i="2"/>
  <c r="F612" i="2"/>
  <c r="D612" i="2"/>
  <c r="F611" i="2"/>
  <c r="D611" i="2"/>
  <c r="F610" i="2"/>
  <c r="D610" i="2"/>
  <c r="F609" i="2"/>
  <c r="D609" i="2"/>
  <c r="F608" i="2"/>
  <c r="D608" i="2"/>
  <c r="F607" i="2"/>
  <c r="D607" i="2"/>
  <c r="F606" i="2"/>
  <c r="D606" i="2"/>
  <c r="F605" i="2"/>
  <c r="D605" i="2"/>
  <c r="F604" i="2"/>
  <c r="D604" i="2"/>
  <c r="F603" i="2"/>
  <c r="D603" i="2"/>
  <c r="F602" i="2"/>
  <c r="D602" i="2"/>
  <c r="F601" i="2"/>
  <c r="D601" i="2"/>
  <c r="F600" i="2"/>
  <c r="D600" i="2"/>
  <c r="F599" i="2"/>
  <c r="D599" i="2"/>
  <c r="F598" i="2"/>
  <c r="D598" i="2"/>
  <c r="F597" i="2"/>
  <c r="D597" i="2"/>
  <c r="F596" i="2"/>
  <c r="D596" i="2"/>
  <c r="F595" i="2"/>
  <c r="D595" i="2"/>
  <c r="F594" i="2"/>
  <c r="D594" i="2"/>
  <c r="F593" i="2"/>
  <c r="D593" i="2"/>
  <c r="F592" i="2"/>
  <c r="D592" i="2"/>
  <c r="F591" i="2"/>
  <c r="D591" i="2"/>
  <c r="F590" i="2"/>
  <c r="D590" i="2"/>
  <c r="F589" i="2"/>
  <c r="D589" i="2"/>
  <c r="F588" i="2"/>
  <c r="D588" i="2"/>
  <c r="F587" i="2"/>
  <c r="D587" i="2"/>
  <c r="F586" i="2"/>
  <c r="D586" i="2"/>
  <c r="F585" i="2"/>
  <c r="D585" i="2"/>
  <c r="F584" i="2"/>
  <c r="D584" i="2"/>
  <c r="F583" i="2"/>
  <c r="D583" i="2"/>
  <c r="F582" i="2"/>
  <c r="D582" i="2"/>
  <c r="F581" i="2"/>
  <c r="D581" i="2"/>
  <c r="F580" i="2"/>
  <c r="D580" i="2"/>
  <c r="F579" i="2"/>
  <c r="D579" i="2"/>
  <c r="F578" i="2"/>
  <c r="D578" i="2"/>
  <c r="F577" i="2"/>
  <c r="D577" i="2"/>
  <c r="F576" i="2"/>
  <c r="D576" i="2"/>
  <c r="F575" i="2"/>
  <c r="D575" i="2"/>
  <c r="F574" i="2"/>
  <c r="D574" i="2"/>
  <c r="F573" i="2"/>
  <c r="D573" i="2"/>
  <c r="F572" i="2"/>
  <c r="D572" i="2"/>
  <c r="F571" i="2"/>
  <c r="D571" i="2"/>
  <c r="F570" i="2"/>
  <c r="D570" i="2"/>
  <c r="F569" i="2"/>
  <c r="D569" i="2"/>
  <c r="F568" i="2"/>
  <c r="D568" i="2"/>
  <c r="F567" i="2"/>
  <c r="D567" i="2"/>
  <c r="F566" i="2"/>
  <c r="D566" i="2"/>
  <c r="F565" i="2"/>
  <c r="D565" i="2"/>
  <c r="F564" i="2"/>
  <c r="D564" i="2"/>
  <c r="F563" i="2"/>
  <c r="D563" i="2"/>
  <c r="F562" i="2"/>
  <c r="D562" i="2"/>
  <c r="F561" i="2"/>
  <c r="D561" i="2"/>
  <c r="F560" i="2"/>
  <c r="D560" i="2"/>
  <c r="F559" i="2"/>
  <c r="D559" i="2"/>
  <c r="F558" i="2"/>
  <c r="D558" i="2"/>
  <c r="F557" i="2"/>
  <c r="D557" i="2"/>
  <c r="F556" i="2"/>
  <c r="D556" i="2"/>
  <c r="F555" i="2"/>
  <c r="D555" i="2"/>
  <c r="F554" i="2"/>
  <c r="D554" i="2"/>
  <c r="F553" i="2"/>
  <c r="D553" i="2"/>
  <c r="F552" i="2"/>
  <c r="D552" i="2"/>
  <c r="F551" i="2"/>
  <c r="D551" i="2"/>
  <c r="F550" i="2"/>
  <c r="D550" i="2"/>
  <c r="F549" i="2"/>
  <c r="D549" i="2"/>
  <c r="F548" i="2"/>
  <c r="D548" i="2"/>
  <c r="F547" i="2"/>
  <c r="D547" i="2"/>
  <c r="F546" i="2"/>
  <c r="D546" i="2"/>
  <c r="F545" i="2"/>
  <c r="D545" i="2"/>
  <c r="F544" i="2"/>
  <c r="D544" i="2"/>
  <c r="F543" i="2"/>
  <c r="D543" i="2"/>
  <c r="F542" i="2"/>
  <c r="D542" i="2"/>
  <c r="F541" i="2"/>
  <c r="D541" i="2"/>
  <c r="F540" i="2"/>
  <c r="D540" i="2"/>
  <c r="F539" i="2"/>
  <c r="D539" i="2"/>
  <c r="F538" i="2"/>
  <c r="D538" i="2"/>
  <c r="F537" i="2"/>
  <c r="D537" i="2"/>
  <c r="F536" i="2"/>
  <c r="D536" i="2"/>
  <c r="F535" i="2"/>
  <c r="D535" i="2"/>
  <c r="F534" i="2"/>
  <c r="D534" i="2"/>
  <c r="F533" i="2"/>
  <c r="D533" i="2"/>
  <c r="F532" i="2"/>
  <c r="D532" i="2"/>
  <c r="F531" i="2"/>
  <c r="D531" i="2"/>
  <c r="F530" i="2"/>
  <c r="D530" i="2"/>
  <c r="F529" i="2"/>
  <c r="D529" i="2"/>
  <c r="F528" i="2"/>
  <c r="D528" i="2"/>
  <c r="F527" i="2"/>
  <c r="D527" i="2"/>
  <c r="F526" i="2"/>
  <c r="D526" i="2"/>
  <c r="F525" i="2"/>
  <c r="D525" i="2"/>
  <c r="F524" i="2"/>
  <c r="D524" i="2"/>
  <c r="F523" i="2"/>
  <c r="D523" i="2"/>
  <c r="F522" i="2"/>
  <c r="D522" i="2"/>
  <c r="F521" i="2"/>
  <c r="D521" i="2"/>
  <c r="F520" i="2"/>
  <c r="D520" i="2"/>
  <c r="F519" i="2"/>
  <c r="D519" i="2"/>
  <c r="F518" i="2"/>
  <c r="D518" i="2"/>
  <c r="F517" i="2"/>
  <c r="D517" i="2"/>
  <c r="F516" i="2"/>
  <c r="D516" i="2"/>
  <c r="F515" i="2"/>
  <c r="D515" i="2"/>
  <c r="F514" i="2"/>
  <c r="D514" i="2"/>
  <c r="F513" i="2"/>
  <c r="D513" i="2"/>
  <c r="F512" i="2"/>
  <c r="D512" i="2"/>
  <c r="F511" i="2"/>
  <c r="D511" i="2"/>
  <c r="F510" i="2"/>
  <c r="D510" i="2"/>
  <c r="F509" i="2"/>
  <c r="D509" i="2"/>
  <c r="F508" i="2"/>
  <c r="D508" i="2"/>
  <c r="F507" i="2"/>
  <c r="D507" i="2"/>
  <c r="F506" i="2"/>
  <c r="D506" i="2"/>
  <c r="F505" i="2"/>
  <c r="D505" i="2"/>
  <c r="F504" i="2"/>
  <c r="D504" i="2"/>
  <c r="F503" i="2"/>
  <c r="D503" i="2"/>
  <c r="F502" i="2"/>
  <c r="D502" i="2"/>
  <c r="F501" i="2"/>
  <c r="D501" i="2"/>
  <c r="F500" i="2"/>
  <c r="D500" i="2"/>
  <c r="F499" i="2"/>
  <c r="D499" i="2"/>
  <c r="F498" i="2"/>
  <c r="D498" i="2"/>
  <c r="F497" i="2"/>
  <c r="D497" i="2"/>
  <c r="F496" i="2"/>
  <c r="D496" i="2"/>
  <c r="F495" i="2"/>
  <c r="D495" i="2"/>
  <c r="F494" i="2"/>
  <c r="D494" i="2"/>
  <c r="F493" i="2"/>
  <c r="D493" i="2"/>
  <c r="F492" i="2"/>
  <c r="D492" i="2"/>
  <c r="F491" i="2"/>
  <c r="D491" i="2"/>
  <c r="F490" i="2"/>
  <c r="D490" i="2"/>
  <c r="F489" i="2"/>
  <c r="D489" i="2"/>
  <c r="F488" i="2"/>
  <c r="D488" i="2"/>
  <c r="F487" i="2"/>
  <c r="D487" i="2"/>
  <c r="F486" i="2"/>
  <c r="D486" i="2"/>
  <c r="F485" i="2"/>
  <c r="D485" i="2"/>
  <c r="F484" i="2"/>
  <c r="D484" i="2"/>
  <c r="F483" i="2"/>
  <c r="D483" i="2"/>
  <c r="F482" i="2"/>
  <c r="D482" i="2"/>
  <c r="F481" i="2"/>
  <c r="D481" i="2"/>
  <c r="F480" i="2"/>
  <c r="D480" i="2"/>
  <c r="F479" i="2"/>
  <c r="D479" i="2"/>
  <c r="F478" i="2"/>
  <c r="D478" i="2"/>
  <c r="F477" i="2"/>
  <c r="D477" i="2"/>
  <c r="F476" i="2"/>
  <c r="D476" i="2"/>
  <c r="F475" i="2"/>
  <c r="D475" i="2"/>
  <c r="F474" i="2"/>
  <c r="D474" i="2"/>
  <c r="F473" i="2"/>
  <c r="D473" i="2"/>
  <c r="F472" i="2"/>
  <c r="D472" i="2"/>
  <c r="F471" i="2"/>
  <c r="D471" i="2"/>
  <c r="F470" i="2"/>
  <c r="D470" i="2"/>
  <c r="F469" i="2"/>
  <c r="D469" i="2"/>
  <c r="F468" i="2"/>
  <c r="D468" i="2"/>
  <c r="F467" i="2"/>
  <c r="D467" i="2"/>
  <c r="F466" i="2"/>
  <c r="D466" i="2"/>
  <c r="F465" i="2"/>
  <c r="D465" i="2"/>
  <c r="F464" i="2"/>
  <c r="D464" i="2"/>
  <c r="F463" i="2"/>
  <c r="D463" i="2"/>
  <c r="F462" i="2"/>
  <c r="D462" i="2"/>
  <c r="F461" i="2"/>
  <c r="D461" i="2"/>
  <c r="F460" i="2"/>
  <c r="D460" i="2"/>
  <c r="F459" i="2"/>
  <c r="D459" i="2"/>
  <c r="F458" i="2"/>
  <c r="D458" i="2"/>
  <c r="F457" i="2"/>
  <c r="D457" i="2"/>
  <c r="F456" i="2"/>
  <c r="D456" i="2"/>
  <c r="F455" i="2"/>
  <c r="D455" i="2"/>
  <c r="F454" i="2"/>
  <c r="D454" i="2"/>
  <c r="F453" i="2"/>
  <c r="D453" i="2"/>
  <c r="F452" i="2"/>
  <c r="D452" i="2"/>
  <c r="F451" i="2"/>
  <c r="D451" i="2"/>
  <c r="F450" i="2"/>
  <c r="D450" i="2"/>
  <c r="F449" i="2"/>
  <c r="D449" i="2"/>
  <c r="F448" i="2"/>
  <c r="D448" i="2"/>
  <c r="F447" i="2"/>
  <c r="D447" i="2"/>
  <c r="F446" i="2"/>
  <c r="D446" i="2"/>
  <c r="F445" i="2"/>
  <c r="D445" i="2"/>
  <c r="F444" i="2"/>
  <c r="D444" i="2"/>
  <c r="F443" i="2"/>
  <c r="D443" i="2"/>
  <c r="F442" i="2"/>
  <c r="D442" i="2"/>
  <c r="F441" i="2"/>
  <c r="D441" i="2"/>
  <c r="F440" i="2"/>
  <c r="D440" i="2"/>
  <c r="F439" i="2"/>
  <c r="D439" i="2"/>
  <c r="F438" i="2"/>
  <c r="D438" i="2"/>
  <c r="F437" i="2"/>
  <c r="D437" i="2"/>
  <c r="F436" i="2"/>
  <c r="D436" i="2"/>
  <c r="F435" i="2"/>
  <c r="D435" i="2"/>
  <c r="F434" i="2"/>
  <c r="D434" i="2"/>
  <c r="F433" i="2"/>
  <c r="D433" i="2"/>
  <c r="F432" i="2"/>
  <c r="D432" i="2"/>
  <c r="F431" i="2"/>
  <c r="D431" i="2"/>
  <c r="F430" i="2"/>
  <c r="D430" i="2"/>
  <c r="F429" i="2"/>
  <c r="D429" i="2"/>
  <c r="F428" i="2"/>
  <c r="D428" i="2"/>
  <c r="F427" i="2"/>
  <c r="D427" i="2"/>
  <c r="F426" i="2"/>
  <c r="D426" i="2"/>
  <c r="F425" i="2"/>
  <c r="D425" i="2"/>
  <c r="F424" i="2"/>
  <c r="D424" i="2"/>
  <c r="F423" i="2"/>
  <c r="D423" i="2"/>
  <c r="F422" i="2"/>
  <c r="D422" i="2"/>
  <c r="F421" i="2"/>
  <c r="D421" i="2"/>
  <c r="F420" i="2"/>
  <c r="D420" i="2"/>
  <c r="F419" i="2"/>
  <c r="D419" i="2"/>
  <c r="F418" i="2"/>
  <c r="D418" i="2"/>
  <c r="F417" i="2"/>
  <c r="D417" i="2"/>
  <c r="F416" i="2"/>
  <c r="D416" i="2"/>
  <c r="F415" i="2"/>
  <c r="D415" i="2"/>
  <c r="F414" i="2"/>
  <c r="D414" i="2"/>
  <c r="F413" i="2"/>
  <c r="D413" i="2"/>
  <c r="F412" i="2"/>
  <c r="D412" i="2"/>
  <c r="F411" i="2"/>
  <c r="D411" i="2"/>
  <c r="F410" i="2"/>
  <c r="D410" i="2"/>
  <c r="F409" i="2"/>
  <c r="D409" i="2"/>
  <c r="F408" i="2"/>
  <c r="D408" i="2"/>
  <c r="F407" i="2"/>
  <c r="D407" i="2"/>
  <c r="F406" i="2"/>
  <c r="D406" i="2"/>
  <c r="F405" i="2"/>
  <c r="D405" i="2"/>
  <c r="F404" i="2"/>
  <c r="D404" i="2"/>
  <c r="F403" i="2"/>
  <c r="D403" i="2"/>
  <c r="F402" i="2"/>
  <c r="D402" i="2"/>
  <c r="F401" i="2"/>
  <c r="D401" i="2"/>
  <c r="F400" i="2"/>
  <c r="D400" i="2"/>
  <c r="F399" i="2"/>
  <c r="D399" i="2"/>
  <c r="F398" i="2"/>
  <c r="D398" i="2"/>
  <c r="F397" i="2"/>
  <c r="D397" i="2"/>
  <c r="F396" i="2"/>
  <c r="D396" i="2"/>
  <c r="F395" i="2"/>
  <c r="D395" i="2"/>
  <c r="F394" i="2"/>
  <c r="D394" i="2"/>
  <c r="F393" i="2"/>
  <c r="D393" i="2"/>
  <c r="F392" i="2"/>
  <c r="D392" i="2"/>
  <c r="F391" i="2"/>
  <c r="D391" i="2"/>
  <c r="F390" i="2"/>
  <c r="D390" i="2"/>
  <c r="F389" i="2"/>
  <c r="D389" i="2"/>
  <c r="F388" i="2"/>
  <c r="D388" i="2"/>
  <c r="F387" i="2"/>
  <c r="D387" i="2"/>
  <c r="F386" i="2"/>
  <c r="D386" i="2"/>
  <c r="F385" i="2"/>
  <c r="D385" i="2"/>
  <c r="F384" i="2"/>
  <c r="D384" i="2"/>
  <c r="F383" i="2"/>
  <c r="D383" i="2"/>
  <c r="F382" i="2"/>
  <c r="D382" i="2"/>
  <c r="F381" i="2"/>
  <c r="D381" i="2"/>
  <c r="F380" i="2"/>
  <c r="D380" i="2"/>
  <c r="F379" i="2"/>
  <c r="D379" i="2"/>
  <c r="F378" i="2"/>
  <c r="D378" i="2"/>
  <c r="F377" i="2"/>
  <c r="D377" i="2"/>
  <c r="F376" i="2"/>
  <c r="D376" i="2"/>
  <c r="F375" i="2"/>
  <c r="D375" i="2"/>
  <c r="F374" i="2"/>
  <c r="D374" i="2"/>
  <c r="F373" i="2"/>
  <c r="D373" i="2"/>
  <c r="F372" i="2"/>
  <c r="D372" i="2"/>
  <c r="F371" i="2"/>
  <c r="D371" i="2"/>
  <c r="F370" i="2"/>
  <c r="D370" i="2"/>
  <c r="F369" i="2"/>
  <c r="D369" i="2"/>
  <c r="F368" i="2"/>
  <c r="D368" i="2"/>
  <c r="F367" i="2"/>
  <c r="D367" i="2"/>
  <c r="F366" i="2"/>
  <c r="D366" i="2"/>
  <c r="F365" i="2"/>
  <c r="D365" i="2"/>
  <c r="F364" i="2"/>
  <c r="D364" i="2"/>
  <c r="F363" i="2"/>
  <c r="D363" i="2"/>
  <c r="F362" i="2"/>
  <c r="D362" i="2"/>
  <c r="F361" i="2"/>
  <c r="D361" i="2"/>
  <c r="F360" i="2"/>
  <c r="D360" i="2"/>
  <c r="F359" i="2"/>
  <c r="D359" i="2"/>
  <c r="F358" i="2"/>
  <c r="D358" i="2"/>
  <c r="F357" i="2"/>
  <c r="D357" i="2"/>
  <c r="F356" i="2"/>
  <c r="D356" i="2"/>
  <c r="F355" i="2"/>
  <c r="D355" i="2"/>
  <c r="F354" i="2"/>
  <c r="D354" i="2"/>
  <c r="F353" i="2"/>
  <c r="D353" i="2"/>
  <c r="F352" i="2"/>
  <c r="D352" i="2"/>
  <c r="F351" i="2"/>
  <c r="D351" i="2"/>
  <c r="F350" i="2"/>
  <c r="D350" i="2"/>
  <c r="F349" i="2"/>
  <c r="D349" i="2"/>
  <c r="F348" i="2"/>
  <c r="D348" i="2"/>
  <c r="F347" i="2"/>
  <c r="D347" i="2"/>
  <c r="F346" i="2"/>
  <c r="D346" i="2"/>
  <c r="F345" i="2"/>
  <c r="D345" i="2"/>
  <c r="F344" i="2"/>
  <c r="D344" i="2"/>
  <c r="F343" i="2"/>
  <c r="D343" i="2"/>
  <c r="F342" i="2"/>
  <c r="D342" i="2"/>
  <c r="F341" i="2"/>
  <c r="D341" i="2"/>
  <c r="F340" i="2"/>
  <c r="D340" i="2"/>
  <c r="F339" i="2"/>
  <c r="D339" i="2"/>
  <c r="F338" i="2"/>
  <c r="D338" i="2"/>
  <c r="F337" i="2"/>
  <c r="D337" i="2"/>
  <c r="F336" i="2"/>
  <c r="D336" i="2"/>
  <c r="F335" i="2"/>
  <c r="D335" i="2"/>
  <c r="F334" i="2"/>
  <c r="D334" i="2"/>
  <c r="F333" i="2"/>
  <c r="D333" i="2"/>
  <c r="F332" i="2"/>
  <c r="D332" i="2"/>
  <c r="F331" i="2"/>
  <c r="D331" i="2"/>
  <c r="F330" i="2"/>
  <c r="D330" i="2"/>
  <c r="F329" i="2"/>
  <c r="D329" i="2"/>
  <c r="F328" i="2"/>
  <c r="D328" i="2"/>
  <c r="F327" i="2"/>
  <c r="D327" i="2"/>
  <c r="F326" i="2"/>
  <c r="D326" i="2"/>
  <c r="F325" i="2"/>
  <c r="D325" i="2"/>
  <c r="F324" i="2"/>
  <c r="D324" i="2"/>
  <c r="F323" i="2"/>
  <c r="D323" i="2"/>
  <c r="F322" i="2"/>
  <c r="D322" i="2"/>
  <c r="F321" i="2"/>
  <c r="D321" i="2"/>
  <c r="F320" i="2"/>
  <c r="D320" i="2"/>
  <c r="F319" i="2"/>
  <c r="D319" i="2"/>
  <c r="F318" i="2"/>
  <c r="D318" i="2"/>
  <c r="F317" i="2"/>
  <c r="D317" i="2"/>
  <c r="F316" i="2"/>
  <c r="D316" i="2"/>
  <c r="F315" i="2"/>
  <c r="D315" i="2"/>
  <c r="F314" i="2"/>
  <c r="D314" i="2"/>
  <c r="F313" i="2"/>
  <c r="D313" i="2"/>
  <c r="F312" i="2"/>
  <c r="D312" i="2"/>
  <c r="F311" i="2"/>
  <c r="D311" i="2"/>
  <c r="F310" i="2"/>
  <c r="D310" i="2"/>
  <c r="F309" i="2"/>
  <c r="D309" i="2"/>
  <c r="F308" i="2"/>
  <c r="D308" i="2"/>
  <c r="F307" i="2"/>
  <c r="D307" i="2"/>
  <c r="F306" i="2"/>
  <c r="D306" i="2"/>
  <c r="F305" i="2"/>
  <c r="D305" i="2"/>
  <c r="F304" i="2"/>
  <c r="D304" i="2"/>
  <c r="F303" i="2"/>
  <c r="D303" i="2"/>
  <c r="F302" i="2"/>
  <c r="D302" i="2"/>
  <c r="F301" i="2"/>
  <c r="D301" i="2"/>
  <c r="F300" i="2"/>
  <c r="D300" i="2"/>
  <c r="F299" i="2"/>
  <c r="D299" i="2"/>
  <c r="F298" i="2"/>
  <c r="D298" i="2"/>
  <c r="F297" i="2"/>
  <c r="D297" i="2"/>
  <c r="F296" i="2"/>
  <c r="D296" i="2"/>
  <c r="F295" i="2"/>
  <c r="D295" i="2"/>
  <c r="F294" i="2"/>
  <c r="D294" i="2"/>
  <c r="F293" i="2"/>
  <c r="D293" i="2"/>
  <c r="F292" i="2"/>
  <c r="D292" i="2"/>
  <c r="F291" i="2"/>
  <c r="D291" i="2"/>
  <c r="F290" i="2"/>
  <c r="D290" i="2"/>
  <c r="F289" i="2"/>
  <c r="D289" i="2"/>
  <c r="F288" i="2"/>
  <c r="D288" i="2"/>
  <c r="F287" i="2"/>
  <c r="D287" i="2"/>
  <c r="F286" i="2"/>
  <c r="D286" i="2"/>
  <c r="F285" i="2"/>
  <c r="D285" i="2"/>
  <c r="F284" i="2"/>
  <c r="D284" i="2"/>
  <c r="F283" i="2"/>
  <c r="D283" i="2"/>
  <c r="F282" i="2"/>
  <c r="D282" i="2"/>
  <c r="F281" i="2"/>
  <c r="D281" i="2"/>
  <c r="F280" i="2"/>
  <c r="D280" i="2"/>
  <c r="F279" i="2"/>
  <c r="D279" i="2"/>
  <c r="F278" i="2"/>
  <c r="D278" i="2"/>
  <c r="F277" i="2"/>
  <c r="D277" i="2"/>
  <c r="F276" i="2"/>
  <c r="D276" i="2"/>
  <c r="F275" i="2"/>
  <c r="D275" i="2"/>
  <c r="F274" i="2"/>
  <c r="D274" i="2"/>
  <c r="F273" i="2"/>
  <c r="D273" i="2"/>
  <c r="F272" i="2"/>
  <c r="D272" i="2"/>
  <c r="F271" i="2"/>
  <c r="D271" i="2"/>
  <c r="F270" i="2"/>
  <c r="D270" i="2"/>
  <c r="F269" i="2"/>
  <c r="D269" i="2"/>
  <c r="F268" i="2"/>
  <c r="D268" i="2"/>
  <c r="F267" i="2"/>
  <c r="D267" i="2"/>
  <c r="F266" i="2"/>
  <c r="D266" i="2"/>
  <c r="F265" i="2"/>
  <c r="D265" i="2"/>
  <c r="F264" i="2"/>
  <c r="D264" i="2"/>
  <c r="F263" i="2"/>
  <c r="D263" i="2"/>
  <c r="F262" i="2"/>
  <c r="D262" i="2"/>
  <c r="F261" i="2"/>
  <c r="D261" i="2"/>
  <c r="F260" i="2"/>
  <c r="D260" i="2"/>
  <c r="F259" i="2"/>
  <c r="D259" i="2"/>
  <c r="F258" i="2"/>
  <c r="D258" i="2"/>
  <c r="F257" i="2"/>
  <c r="D257" i="2"/>
  <c r="F256" i="2"/>
  <c r="D256" i="2"/>
  <c r="F255" i="2"/>
  <c r="D255" i="2"/>
  <c r="F254" i="2"/>
  <c r="D254" i="2"/>
  <c r="F253" i="2"/>
  <c r="D253" i="2"/>
  <c r="F252" i="2"/>
  <c r="D252" i="2"/>
  <c r="F251" i="2"/>
  <c r="D251" i="2"/>
  <c r="F250" i="2"/>
  <c r="D250" i="2"/>
  <c r="F249" i="2"/>
  <c r="D249" i="2"/>
  <c r="F248" i="2"/>
  <c r="D248" i="2"/>
  <c r="F247" i="2"/>
  <c r="D247" i="2"/>
  <c r="F246" i="2"/>
  <c r="D246" i="2"/>
  <c r="F245" i="2"/>
  <c r="D245" i="2"/>
  <c r="F244" i="2"/>
  <c r="D244" i="2"/>
  <c r="F243" i="2"/>
  <c r="D243" i="2"/>
  <c r="F242" i="2"/>
  <c r="D242" i="2"/>
  <c r="F241" i="2"/>
  <c r="D241" i="2"/>
  <c r="F240" i="2"/>
  <c r="D240" i="2"/>
  <c r="F239" i="2"/>
  <c r="D239" i="2"/>
  <c r="F238" i="2"/>
  <c r="D238" i="2"/>
  <c r="F237" i="2"/>
  <c r="D237" i="2"/>
  <c r="F236" i="2"/>
  <c r="D236" i="2"/>
  <c r="F235" i="2"/>
  <c r="D235" i="2"/>
  <c r="F234" i="2"/>
  <c r="D234" i="2"/>
  <c r="F233" i="2"/>
  <c r="D233" i="2"/>
  <c r="F232" i="2"/>
  <c r="D232" i="2"/>
  <c r="F231" i="2"/>
  <c r="D231" i="2"/>
  <c r="F230" i="2"/>
  <c r="D230" i="2"/>
  <c r="F229" i="2"/>
  <c r="D229" i="2"/>
  <c r="F228" i="2"/>
  <c r="D228" i="2"/>
  <c r="F227" i="2"/>
  <c r="D227" i="2"/>
  <c r="F226" i="2"/>
  <c r="D226" i="2"/>
  <c r="F225" i="2"/>
  <c r="D225" i="2"/>
  <c r="F224" i="2"/>
  <c r="D224" i="2"/>
  <c r="F223" i="2"/>
  <c r="D223" i="2"/>
  <c r="F222" i="2"/>
  <c r="D222" i="2"/>
  <c r="F221" i="2"/>
  <c r="D221" i="2"/>
  <c r="F220" i="2"/>
  <c r="D220" i="2"/>
  <c r="F219" i="2"/>
  <c r="D219" i="2"/>
  <c r="F218" i="2"/>
  <c r="D218" i="2"/>
  <c r="F217" i="2"/>
  <c r="D217" i="2"/>
  <c r="F216" i="2"/>
  <c r="D216" i="2"/>
  <c r="F215" i="2"/>
  <c r="D215" i="2"/>
  <c r="F214" i="2"/>
  <c r="D214" i="2"/>
  <c r="F213" i="2"/>
  <c r="D213" i="2"/>
  <c r="F212" i="2"/>
  <c r="D212" i="2"/>
  <c r="F211" i="2"/>
  <c r="D211" i="2"/>
  <c r="F210" i="2"/>
  <c r="D210" i="2"/>
  <c r="F209" i="2"/>
  <c r="D209" i="2"/>
  <c r="F208" i="2"/>
  <c r="D208" i="2"/>
  <c r="F207" i="2"/>
  <c r="D207" i="2"/>
  <c r="F206" i="2"/>
  <c r="D206" i="2"/>
  <c r="F205" i="2"/>
  <c r="D205" i="2"/>
  <c r="F204" i="2"/>
  <c r="D204" i="2"/>
  <c r="F203" i="2"/>
  <c r="D203" i="2"/>
  <c r="F202" i="2"/>
  <c r="D202" i="2"/>
  <c r="F201" i="2"/>
  <c r="D201" i="2"/>
  <c r="F200" i="2"/>
  <c r="D200" i="2"/>
  <c r="F199" i="2"/>
  <c r="D199" i="2"/>
  <c r="F198" i="2"/>
  <c r="D198" i="2"/>
  <c r="F197" i="2"/>
  <c r="D197" i="2"/>
  <c r="F196" i="2"/>
  <c r="D196" i="2"/>
  <c r="F195" i="2"/>
  <c r="D195" i="2"/>
  <c r="F194" i="2"/>
  <c r="D194" i="2"/>
  <c r="F193" i="2"/>
  <c r="D193" i="2"/>
  <c r="F192" i="2"/>
  <c r="D192" i="2"/>
  <c r="F191" i="2"/>
  <c r="D191" i="2"/>
  <c r="F190" i="2"/>
  <c r="D190" i="2"/>
  <c r="F189" i="2"/>
  <c r="D189" i="2"/>
  <c r="F188" i="2"/>
  <c r="D188" i="2"/>
  <c r="F187" i="2"/>
  <c r="D187" i="2"/>
  <c r="F186" i="2"/>
  <c r="D186" i="2"/>
  <c r="F185" i="2"/>
  <c r="D185" i="2"/>
  <c r="F184" i="2"/>
  <c r="D184" i="2"/>
  <c r="F183" i="2"/>
  <c r="D183" i="2"/>
  <c r="F182" i="2"/>
  <c r="D182" i="2"/>
  <c r="F181" i="2"/>
  <c r="D181" i="2"/>
  <c r="F180" i="2"/>
  <c r="D180" i="2"/>
  <c r="F179" i="2"/>
  <c r="D179" i="2"/>
  <c r="F178" i="2"/>
  <c r="D178" i="2"/>
  <c r="F177" i="2"/>
  <c r="D177" i="2"/>
  <c r="F176" i="2"/>
  <c r="D176" i="2"/>
  <c r="F175" i="2"/>
  <c r="D175" i="2"/>
  <c r="F174" i="2"/>
  <c r="D174" i="2"/>
  <c r="F173" i="2"/>
  <c r="D173" i="2"/>
  <c r="F172" i="2"/>
  <c r="D172" i="2"/>
  <c r="F171" i="2"/>
  <c r="D171" i="2"/>
  <c r="F170" i="2"/>
  <c r="D170" i="2"/>
  <c r="F169" i="2"/>
  <c r="D169" i="2"/>
  <c r="F168" i="2"/>
  <c r="D168" i="2"/>
  <c r="F167" i="2"/>
  <c r="D167" i="2"/>
  <c r="F166" i="2"/>
  <c r="D166" i="2"/>
  <c r="F165" i="2"/>
  <c r="D165" i="2"/>
  <c r="F164" i="2"/>
  <c r="D164" i="2"/>
  <c r="F163" i="2"/>
  <c r="D163" i="2"/>
  <c r="F162" i="2"/>
  <c r="D162" i="2"/>
  <c r="F161" i="2"/>
  <c r="D161" i="2"/>
  <c r="F160" i="2"/>
  <c r="D160" i="2"/>
  <c r="F159" i="2"/>
  <c r="D159" i="2"/>
  <c r="F158" i="2"/>
  <c r="D158" i="2"/>
  <c r="F157" i="2"/>
  <c r="D157" i="2"/>
  <c r="F156" i="2"/>
  <c r="D156" i="2"/>
  <c r="F155" i="2"/>
  <c r="D155" i="2"/>
  <c r="F154" i="2"/>
  <c r="D154" i="2"/>
  <c r="F153" i="2"/>
  <c r="D153" i="2"/>
  <c r="F152" i="2"/>
  <c r="D152" i="2"/>
  <c r="F151" i="2"/>
  <c r="D151" i="2"/>
  <c r="F150" i="2"/>
  <c r="D150" i="2"/>
  <c r="F149" i="2"/>
  <c r="D149" i="2"/>
  <c r="F148" i="2"/>
  <c r="D148" i="2"/>
  <c r="F147" i="2"/>
  <c r="D147" i="2"/>
  <c r="F146" i="2"/>
  <c r="D146" i="2"/>
  <c r="F145" i="2"/>
  <c r="D145" i="2"/>
  <c r="F144" i="2"/>
  <c r="D144" i="2"/>
  <c r="F143" i="2"/>
  <c r="D143" i="2"/>
  <c r="F142" i="2"/>
  <c r="D142" i="2"/>
  <c r="F141" i="2"/>
  <c r="D141" i="2"/>
  <c r="F140" i="2"/>
  <c r="D140" i="2"/>
  <c r="F139" i="2"/>
  <c r="D139" i="2"/>
  <c r="F138" i="2"/>
  <c r="D138" i="2"/>
  <c r="F137" i="2"/>
  <c r="D137" i="2"/>
  <c r="F136" i="2"/>
  <c r="D136" i="2"/>
  <c r="F135" i="2"/>
  <c r="D135" i="2"/>
  <c r="F134" i="2"/>
  <c r="D134" i="2"/>
  <c r="F133" i="2"/>
  <c r="D133" i="2"/>
  <c r="F132" i="2"/>
  <c r="D132" i="2"/>
  <c r="F131" i="2"/>
  <c r="D131" i="2"/>
  <c r="F130" i="2"/>
  <c r="D130" i="2"/>
  <c r="F129" i="2"/>
  <c r="D129" i="2"/>
  <c r="F128" i="2"/>
  <c r="D128" i="2"/>
  <c r="F127" i="2"/>
  <c r="D127" i="2"/>
  <c r="F126" i="2"/>
  <c r="D126" i="2"/>
  <c r="F125" i="2"/>
  <c r="D125" i="2"/>
  <c r="F124" i="2"/>
  <c r="D124" i="2"/>
  <c r="F123" i="2"/>
  <c r="D123" i="2"/>
  <c r="F122" i="2"/>
  <c r="D122" i="2"/>
  <c r="F121" i="2"/>
  <c r="D121" i="2"/>
  <c r="F120" i="2"/>
  <c r="D120" i="2"/>
  <c r="F119" i="2"/>
  <c r="D119" i="2"/>
  <c r="F118" i="2"/>
  <c r="D118" i="2"/>
  <c r="F117" i="2"/>
  <c r="D117" i="2"/>
  <c r="F116" i="2"/>
  <c r="D116" i="2"/>
  <c r="F115" i="2"/>
  <c r="D115" i="2"/>
  <c r="F114" i="2"/>
  <c r="D114" i="2"/>
  <c r="F113" i="2"/>
  <c r="D113" i="2"/>
  <c r="F112" i="2"/>
  <c r="D112" i="2"/>
  <c r="F111" i="2"/>
  <c r="D111" i="2"/>
  <c r="F110" i="2"/>
  <c r="D110" i="2"/>
  <c r="F109" i="2"/>
  <c r="D109" i="2"/>
  <c r="F108" i="2"/>
  <c r="D108" i="2"/>
  <c r="F107" i="2"/>
  <c r="D107" i="2"/>
  <c r="F106" i="2"/>
  <c r="D106" i="2"/>
  <c r="F105" i="2"/>
  <c r="D105" i="2"/>
  <c r="F104" i="2"/>
  <c r="D104" i="2"/>
  <c r="F103" i="2"/>
  <c r="D103" i="2"/>
  <c r="F102" i="2"/>
  <c r="D102" i="2"/>
  <c r="F101" i="2"/>
  <c r="D101" i="2"/>
  <c r="F100" i="2"/>
  <c r="D100" i="2"/>
  <c r="F99" i="2"/>
  <c r="D99" i="2"/>
  <c r="F98" i="2"/>
  <c r="D98" i="2"/>
  <c r="F97" i="2"/>
  <c r="D97" i="2"/>
  <c r="F96" i="2"/>
  <c r="D96" i="2"/>
  <c r="F95" i="2"/>
  <c r="D95" i="2"/>
  <c r="F94" i="2"/>
  <c r="D94" i="2"/>
  <c r="F93" i="2"/>
  <c r="D93" i="2"/>
  <c r="F92" i="2"/>
  <c r="D92" i="2"/>
  <c r="F91" i="2"/>
  <c r="D91" i="2"/>
  <c r="F90" i="2"/>
  <c r="D90" i="2"/>
  <c r="F89" i="2"/>
  <c r="D89" i="2"/>
  <c r="F88" i="2"/>
  <c r="D88" i="2"/>
  <c r="F87" i="2"/>
  <c r="D87" i="2"/>
  <c r="F86" i="2"/>
  <c r="D86" i="2"/>
  <c r="F85" i="2"/>
  <c r="D85" i="2"/>
  <c r="F84" i="2"/>
  <c r="D84" i="2"/>
  <c r="F83" i="2"/>
  <c r="D83" i="2"/>
  <c r="F82" i="2"/>
  <c r="D82" i="2"/>
  <c r="F81" i="2"/>
  <c r="D81" i="2"/>
  <c r="F80" i="2"/>
  <c r="D80" i="2"/>
  <c r="F79" i="2"/>
  <c r="D79" i="2"/>
  <c r="F78" i="2"/>
  <c r="D78" i="2"/>
  <c r="F77" i="2"/>
  <c r="D77" i="2"/>
  <c r="F76" i="2"/>
  <c r="D76" i="2"/>
  <c r="F75" i="2"/>
  <c r="D75" i="2"/>
  <c r="F74" i="2"/>
  <c r="D74" i="2"/>
  <c r="F73" i="2"/>
  <c r="D73" i="2"/>
  <c r="F72" i="2"/>
  <c r="D72" i="2"/>
  <c r="F71" i="2"/>
  <c r="D71" i="2"/>
  <c r="F70" i="2"/>
  <c r="D70" i="2"/>
  <c r="F69" i="2"/>
  <c r="D69" i="2"/>
  <c r="F68" i="2"/>
  <c r="D68" i="2"/>
  <c r="F67" i="2"/>
  <c r="D67" i="2"/>
  <c r="F66" i="2"/>
  <c r="D66" i="2"/>
  <c r="F65" i="2"/>
  <c r="D65" i="2"/>
  <c r="F64" i="2"/>
  <c r="D64" i="2"/>
  <c r="F63" i="2"/>
  <c r="D63" i="2"/>
  <c r="F62" i="2"/>
  <c r="D62" i="2"/>
  <c r="F61" i="2"/>
  <c r="D61" i="2"/>
  <c r="F60" i="2"/>
  <c r="D60" i="2"/>
  <c r="F59" i="2"/>
  <c r="D59" i="2"/>
  <c r="F58" i="2"/>
  <c r="D58" i="2"/>
  <c r="F57" i="2"/>
  <c r="D57" i="2"/>
  <c r="F56" i="2"/>
  <c r="D56" i="2"/>
  <c r="F55" i="2"/>
  <c r="D55" i="2"/>
  <c r="F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F40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  <c r="F3" i="2"/>
  <c r="D3" i="2"/>
  <c r="F2" i="2"/>
  <c r="D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2" i="1"/>
</calcChain>
</file>

<file path=xl/sharedStrings.xml><?xml version="1.0" encoding="utf-8"?>
<sst xmlns="http://schemas.openxmlformats.org/spreadsheetml/2006/main" count="20331" uniqueCount="1808">
  <si>
    <t>Unique ID</t>
  </si>
  <si>
    <t>Email</t>
  </si>
  <si>
    <t>Date Taken (America/New_York)</t>
  </si>
  <si>
    <t>Time Taken (America/New_York)</t>
  </si>
  <si>
    <t>Country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</si>
  <si>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</si>
  <si>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</si>
  <si>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</si>
  <si>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</si>
  <si>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</si>
  <si>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</si>
  <si>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</si>
  <si>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</si>
  <si>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</si>
  <si>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</si>
  <si>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</si>
  <si>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</si>
  <si>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</si>
  <si>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</si>
  <si>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</si>
  <si>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</si>
  <si>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</si>
  <si>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</si>
  <si>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</si>
  <si>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</si>
  <si>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</si>
  <si>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</si>
  <si>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</si>
  <si>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</si>
  <si>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</si>
  <si>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</si>
  <si>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</si>
  <si>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</si>
  <si>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</si>
  <si>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</si>
  <si>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</si>
  <si>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</si>
  <si>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</si>
  <si>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</si>
  <si>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</si>
  <si>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</si>
  <si>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</si>
  <si>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</si>
  <si>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</si>
  <si>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</si>
  <si>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</si>
  <si>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</si>
  <si>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</si>
  <si>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</si>
  <si>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</si>
  <si>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</si>
  <si>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</si>
  <si>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</si>
  <si>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</si>
  <si>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</si>
  <si>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</si>
  <si>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</si>
  <si>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</si>
  <si>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</si>
  <si>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</si>
  <si>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</si>
  <si>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</si>
  <si>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</si>
  <si>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</si>
  <si>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</si>
  <si>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</si>
  <si>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</si>
  <si>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</si>
  <si>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</si>
  <si>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</si>
  <si>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</si>
  <si>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</si>
  <si>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</si>
  <si>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</si>
  <si>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</si>
  <si>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</si>
  <si>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</si>
  <si>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</si>
  <si>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</si>
  <si>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</si>
  <si>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</si>
  <si>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</si>
  <si>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</si>
  <si>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</si>
  <si>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</si>
  <si>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</si>
  <si>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</si>
  <si>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</si>
  <si>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</si>
  <si>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</si>
  <si>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</si>
  <si>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</si>
  <si>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</si>
  <si>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</si>
  <si>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</si>
  <si>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</si>
  <si>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</si>
  <si>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</si>
  <si>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</si>
  <si>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</si>
  <si>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</si>
  <si>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</si>
  <si>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</si>
  <si>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</si>
  <si>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</si>
  <si>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</si>
  <si>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</si>
  <si>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</si>
  <si>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</si>
  <si>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</si>
  <si>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</si>
  <si>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</si>
  <si>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</si>
  <si>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</si>
  <si>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</si>
  <si>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</si>
  <si>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</si>
  <si>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</si>
  <si>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</si>
  <si>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</si>
  <si>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</si>
  <si>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</si>
  <si>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</si>
  <si>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</si>
  <si>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</si>
  <si>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</si>
  <si>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</si>
  <si>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</si>
  <si>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</si>
  <si>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</si>
  <si>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</si>
  <si>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</si>
  <si>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</si>
  <si>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</si>
  <si>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</si>
  <si>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</si>
  <si>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</si>
  <si>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</si>
  <si>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</si>
  <si>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</si>
  <si>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</si>
  <si>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</si>
  <si>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</si>
  <si>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</si>
  <si>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</si>
  <si>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</si>
  <si>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</si>
  <si>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</si>
  <si>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</si>
  <si>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</si>
  <si>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</si>
  <si>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</si>
  <si>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</si>
  <si>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</si>
  <si>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</si>
  <si>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</si>
  <si>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</si>
  <si>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</si>
  <si>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</si>
  <si>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</si>
  <si>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</si>
  <si>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</si>
  <si>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</si>
  <si>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</si>
  <si>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</si>
  <si>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</si>
  <si>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</si>
  <si>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</si>
  <si>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</si>
  <si>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</si>
  <si>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</si>
  <si>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</si>
  <si>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</si>
  <si>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</si>
  <si>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</si>
  <si>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</si>
  <si>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</si>
  <si>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</si>
  <si>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</si>
  <si>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</si>
  <si>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</si>
  <si>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</si>
  <si>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</si>
  <si>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</si>
  <si>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</si>
  <si>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</si>
  <si>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</si>
  <si>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</si>
  <si>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</si>
  <si>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</si>
  <si>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</si>
  <si>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</si>
  <si>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</si>
  <si>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</si>
  <si>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</si>
  <si>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</si>
  <si>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</si>
  <si>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</si>
  <si>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</si>
  <si>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</si>
  <si>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</si>
  <si>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</si>
  <si>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</si>
  <si>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</si>
  <si>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</si>
  <si>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</si>
  <si>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</si>
  <si>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</si>
  <si>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</si>
  <si>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</si>
  <si>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</si>
  <si>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</si>
  <si>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</si>
  <si>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</si>
  <si>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</si>
  <si>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</si>
  <si>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</si>
  <si>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</si>
  <si>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</si>
  <si>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</si>
  <si>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</si>
  <si>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</si>
  <si>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</si>
  <si>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</si>
  <si>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</si>
  <si>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</si>
  <si>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</si>
  <si>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</si>
  <si>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</si>
  <si>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</si>
  <si>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</si>
  <si>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</si>
  <si>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</si>
  <si>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</si>
  <si>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</si>
  <si>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</si>
  <si>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</si>
  <si>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</si>
  <si>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</si>
  <si>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</si>
  <si>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</si>
  <si>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</si>
  <si>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</si>
  <si>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</si>
  <si>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</si>
  <si>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</si>
  <si>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</si>
  <si>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</si>
  <si>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</si>
  <si>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</si>
  <si>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</si>
  <si>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</si>
  <si>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</si>
  <si>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</si>
  <si>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</si>
  <si>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</si>
  <si>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</si>
  <si>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</si>
  <si>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</si>
  <si>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</si>
  <si>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</si>
  <si>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</si>
  <si>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</si>
  <si>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</si>
  <si>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</si>
  <si>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</si>
  <si>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</si>
  <si>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</si>
  <si>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</si>
  <si>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</si>
  <si>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</si>
  <si>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</si>
  <si>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</si>
  <si>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</si>
  <si>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</si>
  <si>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</si>
  <si>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</si>
  <si>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</si>
  <si>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</si>
  <si>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</si>
  <si>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</si>
  <si>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</si>
  <si>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</si>
  <si>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</si>
  <si>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</si>
  <si>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</si>
  <si>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</si>
  <si>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</si>
  <si>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</si>
  <si>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</si>
  <si>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</si>
  <si>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</si>
  <si>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</si>
  <si>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</si>
  <si>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</si>
  <si>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</si>
  <si>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</si>
  <si>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</si>
  <si>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</si>
  <si>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</si>
  <si>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</si>
  <si>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</si>
  <si>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</si>
  <si>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</si>
  <si>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</si>
  <si>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</si>
  <si>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</si>
  <si>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</si>
  <si>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</si>
  <si>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</si>
  <si>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</si>
  <si>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</si>
  <si>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</si>
  <si>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</si>
  <si>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</si>
  <si>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</si>
  <si>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</si>
  <si>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</si>
  <si>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</si>
  <si>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</si>
  <si>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</si>
  <si>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</si>
  <si>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</si>
  <si>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</si>
  <si>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</si>
  <si>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</si>
  <si>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</si>
  <si>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</si>
  <si>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</si>
  <si>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</si>
  <si>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</si>
  <si>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</si>
  <si>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</si>
  <si>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</si>
  <si>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</si>
  <si>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</si>
  <si>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</si>
  <si>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</si>
  <si>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</si>
  <si>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</si>
  <si>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</si>
  <si>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</si>
  <si>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</si>
  <si>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</si>
  <si>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</si>
  <si>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</si>
  <si>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</si>
  <si>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</si>
  <si>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</si>
  <si>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</si>
  <si>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</si>
  <si>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</si>
  <si>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</si>
  <si>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</si>
  <si>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</si>
  <si>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</si>
  <si>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</si>
  <si>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</si>
  <si>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</si>
  <si>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</si>
  <si>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</si>
  <si>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</si>
  <si>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</si>
  <si>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</si>
  <si>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</si>
  <si>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</si>
  <si>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</si>
  <si>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</si>
  <si>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</si>
  <si>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</si>
  <si>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</si>
  <si>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</si>
  <si>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</si>
  <si>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</si>
  <si>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</si>
  <si>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</si>
  <si>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</si>
  <si>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</si>
  <si>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</si>
  <si>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</si>
  <si>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</si>
  <si>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</si>
  <si>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</si>
  <si>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</si>
  <si>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</si>
  <si>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</si>
  <si>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</si>
  <si>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</si>
  <si>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</si>
  <si>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</si>
  <si>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</si>
  <si>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</si>
  <si>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</si>
  <si>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</si>
  <si>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</si>
  <si>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</si>
  <si>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</si>
  <si>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</si>
  <si>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</si>
  <si>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</si>
  <si>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</si>
  <si>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</si>
  <si>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</si>
  <si>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</si>
  <si>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</si>
  <si>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</si>
  <si>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</si>
  <si>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</si>
  <si>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</si>
  <si>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</si>
  <si>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</si>
  <si>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</si>
  <si>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</si>
  <si>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</si>
  <si>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</si>
  <si>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</si>
  <si>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</si>
  <si>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</si>
  <si>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</si>
  <si>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</si>
  <si>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</si>
  <si>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</si>
  <si>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</si>
  <si>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</si>
  <si>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</si>
  <si>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</si>
  <si>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</si>
  <si>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</si>
  <si>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</si>
  <si>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</si>
  <si>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</si>
  <si>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</si>
  <si>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</si>
  <si>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</si>
  <si>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</si>
  <si>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</si>
  <si>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</si>
  <si>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</si>
  <si>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</si>
  <si>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</si>
  <si>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</si>
  <si>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</si>
  <si>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</si>
  <si>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</si>
  <si>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</si>
  <si>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</si>
  <si>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</si>
  <si>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</si>
  <si>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</si>
  <si>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</si>
  <si>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</si>
  <si>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</si>
  <si>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</si>
  <si>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</si>
  <si>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</si>
  <si>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</si>
  <si>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</si>
  <si>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</si>
  <si>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</si>
  <si>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</si>
  <si>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</si>
  <si>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</si>
  <si>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</si>
  <si>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</si>
  <si>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</si>
  <si>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</si>
  <si>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</si>
  <si>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</si>
  <si>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</si>
  <si>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</si>
  <si>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</si>
  <si>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</si>
  <si>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</si>
  <si>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</si>
  <si>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</si>
  <si>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</si>
  <si>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</si>
  <si>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</si>
  <si>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</si>
  <si>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</si>
  <si>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</si>
  <si>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</si>
  <si>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</si>
  <si>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</si>
  <si>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</si>
  <si>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</si>
  <si>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</si>
  <si>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</si>
  <si>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</si>
  <si>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</si>
  <si>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</si>
  <si>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</si>
  <si>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</si>
  <si>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</si>
  <si>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</si>
  <si>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</si>
  <si>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</si>
  <si>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</si>
  <si>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</si>
  <si>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</si>
  <si>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</si>
  <si>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</si>
  <si>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</si>
  <si>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</si>
  <si>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</si>
  <si>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</si>
  <si>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</si>
  <si>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</si>
  <si>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</si>
  <si>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</si>
  <si>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</si>
  <si>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</si>
  <si>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</si>
  <si>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</si>
  <si>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</si>
  <si>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</si>
  <si>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</si>
  <si>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</si>
  <si>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</si>
  <si>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</si>
  <si>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</si>
  <si>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</si>
  <si>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</si>
  <si>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</si>
  <si>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</si>
  <si>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</si>
  <si>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</si>
  <si>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</si>
  <si>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</si>
  <si>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</si>
  <si>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</si>
  <si>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</si>
  <si>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</si>
  <si>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</si>
  <si>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</si>
  <si>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</si>
  <si>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</si>
  <si>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</si>
  <si>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</si>
  <si>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</si>
  <si>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</si>
  <si>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</si>
  <si>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</si>
  <si>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</si>
  <si>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</si>
  <si>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</si>
  <si>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</si>
  <si>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</si>
  <si>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</si>
  <si>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</si>
  <si>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</si>
  <si>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</si>
  <si>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</si>
  <si>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</si>
  <si>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</si>
  <si>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</si>
  <si>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</si>
  <si>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</si>
  <si>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</si>
  <si>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</si>
  <si>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</si>
  <si>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</si>
  <si>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</si>
  <si>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</si>
  <si>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</si>
  <si>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</si>
  <si>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</si>
  <si>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</si>
  <si>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</si>
  <si>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</si>
  <si>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</si>
  <si>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</si>
  <si>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</si>
  <si>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</si>
  <si>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</si>
  <si>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</si>
  <si>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</si>
  <si>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</si>
  <si>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</si>
  <si>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</si>
  <si>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</si>
  <si>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</si>
  <si>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</si>
  <si>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</si>
  <si>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</si>
  <si>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</si>
  <si>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</si>
  <si>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</si>
  <si>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</si>
  <si>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</si>
  <si>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</si>
  <si>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</si>
  <si>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</si>
  <si>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</si>
  <si>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</si>
  <si>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</si>
  <si>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</si>
  <si>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</si>
  <si>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</si>
  <si>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</si>
  <si>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</si>
  <si>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</si>
  <si>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</si>
  <si>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</si>
  <si>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</si>
  <si>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</si>
  <si>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</si>
  <si>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</si>
  <si>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</si>
  <si>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</si>
  <si>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</si>
  <si>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</si>
  <si>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</si>
  <si>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</si>
  <si>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</si>
  <si>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</si>
  <si>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</si>
  <si>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</si>
  <si>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</si>
  <si>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</si>
  <si>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</si>
  <si>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</si>
  <si>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</si>
  <si>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</si>
  <si>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</si>
  <si>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</si>
  <si>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</si>
  <si>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</si>
  <si>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</si>
  <si>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</si>
  <si>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</si>
  <si>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</si>
  <si>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</si>
  <si>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</si>
  <si>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</si>
  <si>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</si>
  <si>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</si>
  <si>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</si>
  <si>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</si>
  <si>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</si>
  <si>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</si>
  <si>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</si>
  <si>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</si>
  <si>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</si>
  <si>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</si>
  <si>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</si>
  <si>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</si>
  <si>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</si>
  <si>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</si>
  <si>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</si>
  <si>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</si>
  <si>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</si>
  <si>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</si>
  <si>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</si>
  <si>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</si>
  <si>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</si>
  <si>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</si>
  <si>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</si>
  <si>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</si>
  <si>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</si>
  <si>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</si>
  <si>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</si>
  <si>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</si>
  <si>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</si>
  <si>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</si>
  <si>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</si>
  <si>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</si>
  <si>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</si>
  <si>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</si>
  <si>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</si>
  <si>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</si>
  <si>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</si>
  <si>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</si>
  <si>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</si>
  <si>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</si>
  <si>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</si>
  <si>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</si>
  <si>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</si>
  <si>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</si>
  <si>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</si>
  <si>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</si>
  <si>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</si>
  <si>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</si>
  <si>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</si>
  <si>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</si>
  <si>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</si>
  <si>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</si>
  <si>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</si>
  <si>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</si>
  <si>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</si>
  <si>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</si>
  <si>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</si>
  <si>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</si>
  <si>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</si>
  <si>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</si>
  <si>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</si>
  <si>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</si>
  <si>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</si>
  <si>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</si>
  <si>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</si>
  <si>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</si>
  <si>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</si>
  <si>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</si>
  <si>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</si>
  <si>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</si>
  <si>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</si>
  <si>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</si>
  <si>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</si>
  <si>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</si>
  <si>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</si>
  <si>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</si>
  <si>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</si>
  <si>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</si>
  <si>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</si>
  <si>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</si>
  <si>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</si>
  <si>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</si>
  <si>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</si>
  <si>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</si>
  <si>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</si>
  <si>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</si>
  <si>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</si>
  <si>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</si>
  <si>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</si>
  <si>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</si>
  <si>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</si>
  <si>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</si>
  <si>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</si>
  <si>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</si>
  <si>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</si>
  <si>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</si>
  <si>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</si>
  <si>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</si>
  <si>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</si>
  <si>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</si>
  <si>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</si>
  <si>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</si>
  <si>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</si>
  <si>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</si>
  <si>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</si>
  <si>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</si>
  <si>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</si>
  <si>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</si>
  <si>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</si>
  <si>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</si>
  <si>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</si>
  <si>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</si>
  <si>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</si>
  <si>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</si>
  <si>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</si>
  <si>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</si>
  <si>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</si>
  <si>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</si>
  <si>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</si>
  <si>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</si>
  <si>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</si>
  <si>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</si>
  <si>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</si>
  <si>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</si>
  <si>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</si>
  <si>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</si>
  <si>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</si>
  <si>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</si>
  <si>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</si>
  <si>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</si>
  <si>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</si>
  <si>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</si>
  <si>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</si>
  <si>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</si>
  <si>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</si>
  <si>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</si>
  <si>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</si>
  <si>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</si>
  <si>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</si>
  <si>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</si>
  <si>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</si>
  <si>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</si>
  <si>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</si>
  <si>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</si>
  <si>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</si>
  <si>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</si>
  <si>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</si>
  <si>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</si>
  <si>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</si>
  <si>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</si>
  <si>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</si>
  <si>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</si>
  <si>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</si>
  <si>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</si>
  <si>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</si>
  <si>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</si>
  <si>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</si>
  <si>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</si>
  <si>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</si>
  <si>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</si>
  <si>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</si>
  <si>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</si>
  <si>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</si>
  <si>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</si>
  <si>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</si>
  <si>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</si>
  <si>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</si>
  <si>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</si>
  <si>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</si>
  <si>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</si>
  <si>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</si>
  <si>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</si>
  <si>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</si>
  <si>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</si>
  <si>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</si>
  <si>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</si>
  <si>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</si>
  <si>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</si>
  <si>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</si>
  <si>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</si>
  <si>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</si>
  <si>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</si>
  <si>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</si>
  <si>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</si>
  <si>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</si>
  <si>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</si>
  <si>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</si>
  <si>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</si>
  <si>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</si>
  <si>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</si>
  <si>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</si>
  <si>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</si>
  <si>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</si>
  <si>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</si>
  <si>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</si>
  <si>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</si>
  <si>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</si>
  <si>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</si>
  <si>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</si>
  <si>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</si>
  <si>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</si>
  <si>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</si>
  <si>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</si>
  <si>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</si>
  <si>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</si>
  <si>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</si>
  <si>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</si>
  <si>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</si>
  <si>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</si>
  <si>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</si>
  <si>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</si>
  <si>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</si>
  <si>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</si>
  <si>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</si>
  <si>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</si>
  <si>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</si>
  <si>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</si>
  <si>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</si>
  <si>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</si>
  <si>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</si>
  <si>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</si>
  <si>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</si>
  <si>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</si>
  <si>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</si>
  <si>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</si>
  <si>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</si>
  <si>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</si>
  <si>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</si>
  <si>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</si>
  <si>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</si>
  <si>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</si>
  <si>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</si>
  <si>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</si>
  <si>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</si>
  <si>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</si>
  <si>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</si>
  <si>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</si>
  <si>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</si>
  <si>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</si>
  <si>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</si>
  <si>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</si>
  <si>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</si>
  <si>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</si>
  <si>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</si>
  <si>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</si>
  <si>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</si>
  <si>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</si>
  <si>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</si>
  <si>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</si>
  <si>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</si>
  <si>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</si>
  <si>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</si>
  <si>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</si>
  <si>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</si>
  <si>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</si>
  <si>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</si>
  <si>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</si>
  <si>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</si>
  <si>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</si>
  <si>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</si>
  <si>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</si>
  <si>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</si>
  <si>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</si>
  <si>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</si>
  <si>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</si>
  <si>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</si>
  <si>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</si>
  <si>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</si>
  <si>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</si>
  <si>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</si>
  <si>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</si>
  <si>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</si>
  <si>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</si>
  <si>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</si>
  <si>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</si>
  <si>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</si>
  <si>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</si>
  <si>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</si>
  <si>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</si>
  <si>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</si>
  <si>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</si>
  <si>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</si>
  <si>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</si>
  <si>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</si>
  <si>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</si>
  <si>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</si>
  <si>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</si>
  <si>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</si>
  <si>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</si>
  <si>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</si>
  <si>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</si>
  <si>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</si>
  <si>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</si>
  <si>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</si>
  <si>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</si>
  <si>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</si>
  <si>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</si>
  <si>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</si>
  <si>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</si>
  <si>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</si>
  <si>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</si>
  <si>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</si>
  <si>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</si>
  <si>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</si>
  <si>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</si>
  <si>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</si>
  <si>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</si>
  <si>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</si>
  <si>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</si>
  <si>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</si>
  <si>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</si>
  <si>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</si>
  <si>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</si>
  <si>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</si>
  <si>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</si>
  <si>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</si>
  <si>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</si>
  <si>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</si>
  <si>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</si>
  <si>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</si>
  <si>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</si>
  <si>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</si>
  <si>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</si>
  <si>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</si>
  <si>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</si>
  <si>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</si>
  <si>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</si>
  <si>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</si>
  <si>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</si>
  <si>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</si>
  <si>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</si>
  <si>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</si>
  <si>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</si>
  <si>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</si>
  <si>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</si>
  <si>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</si>
  <si>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</si>
  <si>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</si>
  <si>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</si>
  <si>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</si>
  <si>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</si>
  <si>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</si>
  <si>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</si>
  <si>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</si>
  <si>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</si>
  <si>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</si>
  <si>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</si>
  <si>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</si>
  <si>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</si>
  <si>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</si>
  <si>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</si>
  <si>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</si>
  <si>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</si>
  <si>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</si>
  <si>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</si>
  <si>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</si>
  <si>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</si>
  <si>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</si>
  <si>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</si>
  <si>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</si>
  <si>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</si>
  <si>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</si>
  <si>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</si>
  <si>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</si>
  <si>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</si>
  <si>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</si>
  <si>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</si>
  <si>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</si>
  <si>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</si>
  <si>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</si>
  <si>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</si>
  <si>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</si>
  <si>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</si>
  <si>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</si>
  <si>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</si>
  <si>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</si>
  <si>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</si>
  <si>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</si>
  <si>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</si>
  <si>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</si>
  <si>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</si>
  <si>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</si>
  <si>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</si>
  <si>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</si>
  <si>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</si>
  <si>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</si>
  <si>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</si>
  <si>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</si>
  <si>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</si>
  <si>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</si>
  <si>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</si>
  <si>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</si>
  <si>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</si>
  <si>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</si>
  <si>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</si>
  <si>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</si>
  <si>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</si>
  <si>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</si>
  <si>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</si>
  <si>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</si>
  <si>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</si>
  <si>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</si>
  <si>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</si>
  <si>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</si>
  <si>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</si>
  <si>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</si>
  <si>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</si>
  <si>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</si>
  <si>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</si>
  <si>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</si>
  <si>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</si>
  <si>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</si>
  <si>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</si>
  <si>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</si>
  <si>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</si>
  <si>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</si>
  <si>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</si>
  <si>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</si>
  <si>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</si>
  <si>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</si>
  <si>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</si>
  <si>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</si>
  <si>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</si>
  <si>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</si>
  <si>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</si>
  <si>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</si>
  <si>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</si>
  <si>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</si>
  <si>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</si>
  <si>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</si>
  <si>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</si>
  <si>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</si>
  <si>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</si>
  <si>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</si>
  <si>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</si>
  <si>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</si>
  <si>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</si>
  <si>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</si>
  <si>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</si>
  <si>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</si>
  <si>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</si>
  <si>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</si>
  <si>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</si>
  <si>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</si>
  <si>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</si>
  <si>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</si>
  <si>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</si>
  <si>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</si>
  <si>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</si>
  <si>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</si>
  <si>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</si>
  <si>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</si>
  <si>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</si>
  <si>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</si>
  <si>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</si>
  <si>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</si>
  <si>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</si>
  <si>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</si>
  <si>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</si>
  <si>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</si>
  <si>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</si>
  <si>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</si>
  <si>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</si>
  <si>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</si>
  <si>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</si>
  <si>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</si>
  <si>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</si>
  <si>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</si>
  <si>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</si>
  <si>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</si>
  <si>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</si>
  <si>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</si>
  <si>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</si>
  <si>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</si>
  <si>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</si>
  <si>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</si>
  <si>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</si>
  <si>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</si>
  <si>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</si>
  <si>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</si>
  <si>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</si>
  <si>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</si>
  <si>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</si>
  <si>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</si>
  <si>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</si>
  <si>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</si>
  <si>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</si>
  <si>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</si>
  <si>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</si>
  <si>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</si>
  <si>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</si>
  <si>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</si>
  <si>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</si>
  <si>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</si>
  <si>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</si>
  <si>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</si>
  <si>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</si>
  <si>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</si>
  <si>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</si>
  <si>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</si>
  <si>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</si>
  <si>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</si>
  <si>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</si>
  <si>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</si>
  <si>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</si>
  <si>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</si>
  <si>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</si>
  <si>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</si>
  <si>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</si>
  <si>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</si>
  <si>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</si>
  <si>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</si>
  <si>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</si>
  <si>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</si>
  <si>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</si>
  <si>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</si>
  <si>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</si>
  <si>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</si>
  <si>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</si>
  <si>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</si>
  <si>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</si>
  <si>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</si>
  <si>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</si>
  <si>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</si>
  <si>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</si>
  <si>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</si>
  <si>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</si>
  <si>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</si>
  <si>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</si>
  <si>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</si>
  <si>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</si>
  <si>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</si>
  <si>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</si>
  <si>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</si>
  <si>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</si>
  <si>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</si>
  <si>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</si>
  <si>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</si>
  <si>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</si>
  <si>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</si>
  <si>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</si>
  <si>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</si>
  <si>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</si>
  <si>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</si>
  <si>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</si>
  <si>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</si>
  <si>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</si>
  <si>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</si>
  <si>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</si>
  <si>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</si>
  <si>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</si>
  <si>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</si>
  <si>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</si>
  <si>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</si>
  <si>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</si>
  <si>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</si>
  <si>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</si>
  <si>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</si>
  <si>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</si>
  <si>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</si>
  <si>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</si>
  <si>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</si>
  <si>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</si>
  <si>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</si>
  <si>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</si>
  <si>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</si>
  <si>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</si>
  <si>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</si>
  <si>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</si>
  <si>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</si>
  <si>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</si>
  <si>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</si>
  <si>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</si>
  <si>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</si>
  <si>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</si>
  <si>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</si>
  <si>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</si>
  <si>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</si>
  <si>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</si>
  <si>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</si>
  <si>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</si>
  <si>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</si>
  <si>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</si>
  <si>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</si>
  <si>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</si>
  <si>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</si>
  <si>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</si>
  <si>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</si>
  <si>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</si>
  <si>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</si>
  <si>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</si>
  <si>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</si>
  <si>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</si>
  <si>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</si>
  <si>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</si>
  <si>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</si>
  <si>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</si>
  <si>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</si>
  <si>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</si>
  <si>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</si>
  <si>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</si>
  <si>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</si>
  <si>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</si>
  <si>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</si>
  <si>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</si>
  <si>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</si>
  <si>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</si>
  <si>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</si>
  <si>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</si>
  <si>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</si>
  <si>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</si>
  <si>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</si>
  <si>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</si>
  <si>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</si>
  <si>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</si>
  <si>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</si>
  <si>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</si>
  <si>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</si>
  <si>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</si>
  <si>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</si>
  <si>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</si>
  <si>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</si>
  <si>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</si>
  <si>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</si>
  <si>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</si>
  <si>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</si>
  <si>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</si>
  <si>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</si>
  <si>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</si>
  <si>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</si>
  <si>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</si>
  <si>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</si>
  <si>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</si>
  <si>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</si>
  <si>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</si>
  <si>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</si>
  <si>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</si>
  <si>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</si>
  <si>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</si>
  <si>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</si>
  <si>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</si>
  <si>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</si>
  <si>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</si>
  <si>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</si>
  <si>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</si>
  <si>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</si>
  <si>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</si>
  <si>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</si>
  <si>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</si>
  <si>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</si>
  <si>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</si>
  <si>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</si>
  <si>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</si>
  <si>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</si>
  <si>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</si>
  <si>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</si>
  <si>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</si>
  <si>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</si>
  <si>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</si>
  <si>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</si>
  <si>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</si>
  <si>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</si>
  <si>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</si>
  <si>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</si>
  <si>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</si>
  <si>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</si>
  <si>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</si>
  <si>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</si>
  <si>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</si>
  <si>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</si>
  <si>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</si>
  <si>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</si>
  <si>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</si>
  <si>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</si>
  <si>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</si>
  <si>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</si>
  <si>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</si>
  <si>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</si>
  <si>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</si>
  <si>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</si>
  <si>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</si>
  <si>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</si>
  <si>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</si>
  <si>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</si>
  <si>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</si>
  <si>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</si>
  <si>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</si>
  <si>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</si>
  <si>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</si>
  <si>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</si>
  <si>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</si>
  <si>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</si>
  <si>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</si>
  <si>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</si>
  <si>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</si>
  <si>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</si>
  <si>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</si>
  <si>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</si>
  <si>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</si>
  <si>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</si>
  <si>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</si>
  <si>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</si>
  <si>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</si>
  <si>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</si>
  <si>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</si>
  <si>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</si>
  <si>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</si>
  <si>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</si>
  <si>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</si>
  <si>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</si>
  <si>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</si>
  <si>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</si>
  <si>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</si>
  <si>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</si>
  <si>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</si>
  <si>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</si>
  <si>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</si>
  <si>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</si>
  <si>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</si>
  <si>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</si>
  <si>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</si>
  <si>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</si>
  <si>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</si>
  <si>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</si>
  <si>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</si>
  <si>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</si>
  <si>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</si>
  <si>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</si>
  <si>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</si>
  <si>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</si>
  <si>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</si>
  <si>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</si>
  <si>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</si>
  <si>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</si>
  <si>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</si>
  <si>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</si>
  <si>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</si>
  <si>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</si>
  <si>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</si>
  <si>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</si>
  <si>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</si>
  <si>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</si>
  <si>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</si>
  <si>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</si>
  <si>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</si>
  <si>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</si>
  <si>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</si>
  <si>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</si>
  <si>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</si>
  <si>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</si>
  <si>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</si>
  <si>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</si>
  <si>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</si>
  <si>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</si>
  <si>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</si>
  <si>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</si>
  <si>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</si>
  <si>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</si>
  <si>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</si>
  <si>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</si>
  <si>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</si>
  <si>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</si>
  <si>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</si>
  <si>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</si>
  <si>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</si>
  <si>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</si>
  <si>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</si>
  <si>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</si>
  <si>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</si>
  <si>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</si>
  <si>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</si>
  <si>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</si>
  <si>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</si>
  <si>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</si>
  <si>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</si>
  <si>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</si>
  <si>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</si>
  <si>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</si>
  <si>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</si>
  <si>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</si>
  <si>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</si>
  <si>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</si>
  <si>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</si>
  <si>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</si>
  <si>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</si>
  <si>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</si>
  <si>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</si>
  <si>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</si>
  <si>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</si>
  <si>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</si>
  <si>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</si>
  <si>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</si>
  <si>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</si>
  <si>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</si>
  <si>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</si>
  <si>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</si>
  <si>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</si>
  <si>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</si>
  <si>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</si>
  <si>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</si>
  <si>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</si>
  <si>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</si>
  <si>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</si>
  <si>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</si>
  <si>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</si>
  <si>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</si>
  <si>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</si>
  <si>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</si>
  <si>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</si>
  <si>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</si>
  <si>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</si>
  <si>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</si>
  <si>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</si>
  <si>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</si>
  <si>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</si>
  <si>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</si>
  <si>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</si>
  <si>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</si>
  <si>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</si>
  <si>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</si>
  <si>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</si>
  <si>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</si>
  <si>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</si>
  <si>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</si>
  <si>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</si>
  <si>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</si>
  <si>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</si>
  <si>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</si>
  <si>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</si>
  <si>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</si>
  <si>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</si>
  <si>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</si>
  <si>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</si>
  <si>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</si>
  <si>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</si>
  <si>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</si>
  <si>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</si>
  <si>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</si>
  <si>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</si>
  <si>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</si>
  <si>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</si>
  <si>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</si>
  <si>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</si>
  <si>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</si>
  <si>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</si>
  <si>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</si>
  <si>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</si>
  <si>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</si>
  <si>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</si>
  <si>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</si>
  <si>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</si>
  <si>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</si>
  <si>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</si>
  <si>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</si>
  <si>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</si>
  <si>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</si>
  <si>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</si>
  <si>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</si>
  <si>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</si>
  <si>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</si>
  <si>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</si>
  <si>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</si>
  <si>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</si>
  <si>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</si>
  <si>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</si>
  <si>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</si>
  <si>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</si>
  <si>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</si>
  <si>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</si>
  <si>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</si>
  <si>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</si>
  <si>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</si>
  <si>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</si>
  <si>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</si>
  <si>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</si>
  <si>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</si>
  <si>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</si>
  <si>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</si>
  <si>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</si>
  <si>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</si>
  <si>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</si>
  <si>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</si>
  <si>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</si>
  <si>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</si>
  <si>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</si>
  <si>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</si>
  <si>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</si>
  <si>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</si>
  <si>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</si>
  <si>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</si>
  <si>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</si>
  <si>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</si>
  <si>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</si>
  <si>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</si>
  <si>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</si>
  <si>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</si>
  <si>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</si>
  <si>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</si>
  <si>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</si>
  <si>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</si>
  <si>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</si>
  <si>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</si>
  <si>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</si>
  <si>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</si>
  <si>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</si>
  <si>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</si>
  <si>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</si>
  <si>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</si>
  <si>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</si>
  <si>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</si>
  <si>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</si>
  <si>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</si>
  <si>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</si>
  <si>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</si>
  <si>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</si>
  <si>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</si>
  <si>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</si>
  <si>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</si>
  <si>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</si>
  <si>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</si>
  <si>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</si>
  <si>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</si>
  <si>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</si>
  <si>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</si>
  <si>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</si>
  <si>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</si>
  <si>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</si>
  <si>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</si>
  <si>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</si>
  <si>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</si>
  <si>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</si>
  <si>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</si>
  <si>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</si>
  <si>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</si>
  <si>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</si>
  <si>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</si>
  <si>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</si>
  <si>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</si>
  <si>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</si>
  <si>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</si>
  <si>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</si>
  <si>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</si>
  <si>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</si>
  <si>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</si>
  <si>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</si>
  <si>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</si>
  <si>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</si>
  <si>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</si>
  <si>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</si>
  <si>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</si>
  <si>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</si>
  <si>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</si>
  <si>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</si>
  <si>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</si>
  <si>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</si>
  <si>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</si>
  <si>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</si>
  <si>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</si>
  <si>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</si>
  <si>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</si>
  <si>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</si>
  <si>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</si>
  <si>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</si>
  <si>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</si>
  <si>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</si>
  <si>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</si>
  <si>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</si>
  <si>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</si>
  <si>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</si>
  <si>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</si>
  <si>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</si>
  <si>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</si>
  <si>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</si>
  <si>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</si>
  <si>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</si>
  <si>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</si>
  <si>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</si>
  <si>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</si>
  <si>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</si>
  <si>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</si>
  <si>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</si>
  <si>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</si>
  <si>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</si>
  <si>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</si>
  <si>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</si>
  <si>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</si>
  <si>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</si>
  <si>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</si>
  <si>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</si>
  <si>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</si>
  <si>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</si>
  <si>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</si>
  <si>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</si>
  <si>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</si>
  <si>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</si>
  <si>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</si>
  <si>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</si>
  <si>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</si>
  <si>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</si>
  <si>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</si>
  <si>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</si>
  <si>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</si>
  <si>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</si>
  <si>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</si>
  <si>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</si>
  <si>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</si>
  <si>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</si>
  <si>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</si>
  <si>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</si>
  <si>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</si>
  <si>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</si>
  <si>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</si>
  <si>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</si>
  <si>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</si>
  <si>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</si>
  <si>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</si>
  <si>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</si>
  <si>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</si>
  <si>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</si>
  <si>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</si>
  <si>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</si>
  <si>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</si>
  <si>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</si>
  <si>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</si>
  <si>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</si>
  <si>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</si>
  <si>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</si>
  <si>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</si>
  <si>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</si>
  <si>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</si>
  <si>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</si>
  <si>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</si>
  <si>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</si>
  <si>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</si>
  <si>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</si>
  <si>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</si>
  <si>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</si>
  <si>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</si>
  <si>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</si>
  <si>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</si>
  <si>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</si>
  <si>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</si>
  <si>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</si>
  <si>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</si>
  <si>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</si>
  <si>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</si>
  <si>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</si>
  <si>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</si>
  <si>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</si>
  <si>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</si>
  <si>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</si>
  <si>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</si>
  <si>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</si>
  <si>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</si>
  <si>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</si>
  <si>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</si>
  <si>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</si>
  <si>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</si>
  <si>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</si>
  <si>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</si>
  <si>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</si>
  <si>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</si>
  <si>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</si>
  <si>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</si>
  <si>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</si>
  <si>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</si>
  <si>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</si>
  <si>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</si>
  <si>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</si>
  <si>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</si>
  <si>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</si>
  <si>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</si>
  <si>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</si>
  <si>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</si>
  <si>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</si>
  <si>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</si>
  <si>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</si>
  <si>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</si>
  <si>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</si>
  <si>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</si>
  <si>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</si>
  <si>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</si>
  <si>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</si>
  <si>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</si>
  <si>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</si>
  <si>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</si>
  <si>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</si>
  <si>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</si>
  <si>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</si>
  <si>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</si>
  <si>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</si>
  <si>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</si>
  <si>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</si>
  <si>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</si>
  <si>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</si>
  <si>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</si>
  <si>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</si>
  <si>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</si>
  <si>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</si>
  <si>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</si>
  <si>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</si>
  <si>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</si>
  <si>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</si>
  <si>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</si>
  <si>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</si>
  <si>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</si>
  <si>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</si>
  <si>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</si>
  <si>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</si>
  <si>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</si>
  <si>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</si>
  <si>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</si>
  <si>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</si>
  <si>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</si>
  <si>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</si>
  <si>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</si>
  <si>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</si>
  <si>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</si>
  <si>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</si>
  <si>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</si>
  <si>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</si>
  <si>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</si>
  <si>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</si>
  <si>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</si>
  <si>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</si>
  <si>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</si>
  <si>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</si>
  <si>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</si>
  <si>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</si>
  <si>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</si>
  <si>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</si>
  <si>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</si>
  <si>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</si>
  <si>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</si>
  <si>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</si>
  <si>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</si>
  <si>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</si>
  <si>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</si>
  <si>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</si>
  <si>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</si>
  <si>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</si>
  <si>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</si>
  <si>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</si>
  <si>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</si>
  <si>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</si>
  <si>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</si>
  <si>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</si>
  <si>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</si>
  <si>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</si>
  <si>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</si>
  <si>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</si>
  <si>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</si>
  <si>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</si>
  <si>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</si>
  <si>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</si>
  <si>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</si>
  <si>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</si>
  <si>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</si>
  <si>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</si>
  <si>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</si>
  <si>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</si>
  <si>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</si>
  <si>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</si>
  <si>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</si>
  <si>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</si>
  <si>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Time Taken</t>
  </si>
  <si>
    <t>Date Taken</t>
  </si>
  <si>
    <t>Current Role</t>
  </si>
  <si>
    <t>Switch Career</t>
  </si>
  <si>
    <t>Avg Current Yearly Salary (USD)</t>
  </si>
  <si>
    <t>Job Industry</t>
  </si>
  <si>
    <t>Programming Language Fav</t>
  </si>
  <si>
    <t>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</si>
</sst>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3353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1" fillId="2" borderId="1" xfId="0" applyNumberFormat="1" applyFont="1" applyFill="1" applyBorder="1" applyAlignment="1">
      <alignment horizontal="left" vertical="center" indent="1"/>
    </xf>
    <xf numFmtId="14" fontId="0" fillId="0" borderId="0" xfId="0" applyNumberFormat="1"/>
    <xf numFmtId="165" fontId="0" fillId="0" borderId="0" xfId="0" applyNumberFormat="1"/>
    <xf numFmtId="0" fontId="1" fillId="3" borderId="1" xfId="0" applyFont="1" applyFill="1" applyBorder="1" applyAlignment="1">
      <alignment horizontal="left" vertical="center" indent="1"/>
    </xf>
    <xf numFmtId="14" fontId="1" fillId="3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1"/>
  <sheetViews>
    <sheetView topLeftCell="E1" zoomScaleNormal="100" workbookViewId="0">
      <pane ySplit="1" topLeftCell="A2" activePane="bottomLeft" state="frozen"/>
      <selection pane="bottomLeft" activeCell="H24" sqref="H24"/>
    </sheetView>
  </sheetViews>
  <sheetFormatPr defaultRowHeight="14.25" x14ac:dyDescent="0.45"/>
  <cols>
    <col min="1" max="1" width="24.796875" bestFit="1" customWidth="1"/>
    <col min="2" max="2" width="9.796875" bestFit="1" customWidth="1"/>
    <col min="3" max="3" width="31.265625" style="3" bestFit="1" customWidth="1"/>
    <col min="4" max="4" width="13.46484375" style="3" bestFit="1" customWidth="1"/>
    <col min="5" max="5" width="31.46484375" bestFit="1" customWidth="1"/>
    <col min="6" max="6" width="13.6640625" bestFit="1" customWidth="1"/>
    <col min="7" max="7" width="13.53125" bestFit="1" customWidth="1"/>
    <col min="8" max="8" width="86.46484375" bestFit="1" customWidth="1"/>
    <col min="9" max="9" width="35.73046875" bestFit="1" customWidth="1"/>
    <col min="10" max="10" width="32.53125" bestFit="1" customWidth="1"/>
    <col min="11" max="11" width="81.9296875" bestFit="1" customWidth="1"/>
    <col min="12" max="12" width="191.1328125" bestFit="1" customWidth="1"/>
    <col min="13" max="13" width="67.73046875" bestFit="1" customWidth="1"/>
    <col min="14" max="14" width="77.86328125" bestFit="1" customWidth="1"/>
    <col min="15" max="15" width="71.59765625" bestFit="1" customWidth="1"/>
    <col min="16" max="16" width="73.86328125" bestFit="1" customWidth="1"/>
    <col min="17" max="17" width="76.796875" bestFit="1" customWidth="1"/>
    <col min="18" max="18" width="79.9296875" bestFit="1" customWidth="1"/>
    <col min="19" max="19" width="46.796875" bestFit="1" customWidth="1"/>
    <col min="20" max="20" width="146.796875" bestFit="1" customWidth="1"/>
    <col min="21" max="21" width="19.9296875" bestFit="1" customWidth="1"/>
    <col min="22" max="22" width="19.06640625" bestFit="1" customWidth="1"/>
    <col min="23" max="23" width="42.9296875" bestFit="1" customWidth="1"/>
    <col min="24" max="24" width="30.9296875" bestFit="1" customWidth="1"/>
    <col min="25" max="25" width="65.53125" bestFit="1" customWidth="1"/>
  </cols>
  <sheetData>
    <row r="1" spans="1:25" s="1" customFormat="1" ht="30" customHeight="1" x14ac:dyDescent="0.45">
      <c r="A1" s="1" t="s">
        <v>0</v>
      </c>
      <c r="B1" s="1" t="s">
        <v>1</v>
      </c>
      <c r="C1" s="2" t="s">
        <v>2</v>
      </c>
      <c r="D1" s="2" t="s">
        <v>1801</v>
      </c>
      <c r="E1" s="1" t="s">
        <v>3</v>
      </c>
      <c r="F1" s="1" t="s">
        <v>1800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45">
      <c r="A2" t="s">
        <v>24</v>
      </c>
      <c r="B2" t="s">
        <v>25</v>
      </c>
      <c r="C2" s="3" t="s">
        <v>26</v>
      </c>
      <c r="D2" s="3">
        <f>DATEVALUE(C2)</f>
        <v>44840</v>
      </c>
      <c r="E2" t="s">
        <v>27</v>
      </c>
      <c r="F2" s="4">
        <f>TIMEVALUE(E2)</f>
        <v>0.35972222222222222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>
        <v>9</v>
      </c>
      <c r="N2">
        <v>9</v>
      </c>
      <c r="O2">
        <v>7</v>
      </c>
      <c r="P2">
        <v>5</v>
      </c>
      <c r="Q2">
        <v>5</v>
      </c>
      <c r="R2">
        <v>7</v>
      </c>
      <c r="S2" t="s">
        <v>35</v>
      </c>
      <c r="T2" t="s">
        <v>36</v>
      </c>
      <c r="U2" t="s">
        <v>37</v>
      </c>
      <c r="V2">
        <v>26</v>
      </c>
      <c r="W2" t="s">
        <v>38</v>
      </c>
      <c r="X2" t="s">
        <v>28</v>
      </c>
      <c r="Y2" t="s">
        <v>39</v>
      </c>
    </row>
    <row r="3" spans="1:25" x14ac:dyDescent="0.45">
      <c r="A3" t="s">
        <v>40</v>
      </c>
      <c r="B3" t="s">
        <v>25</v>
      </c>
      <c r="C3" s="3" t="s">
        <v>26</v>
      </c>
      <c r="D3" s="3">
        <f t="shared" ref="D3:D66" si="0">DATEVALUE(C3)</f>
        <v>44840</v>
      </c>
      <c r="E3" t="s">
        <v>41</v>
      </c>
      <c r="F3" s="4">
        <f t="shared" ref="F3:F66" si="1">TIMEVALUE(E3)</f>
        <v>0.3611111111111111</v>
      </c>
      <c r="G3" t="s">
        <v>42</v>
      </c>
      <c r="H3" t="s">
        <v>30</v>
      </c>
      <c r="I3" t="s">
        <v>43</v>
      </c>
      <c r="J3" t="s">
        <v>44</v>
      </c>
      <c r="K3" t="s">
        <v>45</v>
      </c>
      <c r="L3" t="s">
        <v>46</v>
      </c>
      <c r="M3">
        <v>1</v>
      </c>
      <c r="N3">
        <v>2</v>
      </c>
      <c r="O3">
        <v>5</v>
      </c>
      <c r="P3">
        <v>2</v>
      </c>
      <c r="Q3">
        <v>1</v>
      </c>
      <c r="R3">
        <v>3</v>
      </c>
      <c r="S3" t="s">
        <v>35</v>
      </c>
      <c r="T3" t="s">
        <v>36</v>
      </c>
      <c r="U3" t="s">
        <v>37</v>
      </c>
      <c r="V3">
        <v>36</v>
      </c>
      <c r="W3" t="s">
        <v>47</v>
      </c>
      <c r="X3" t="s">
        <v>28</v>
      </c>
      <c r="Y3" t="s">
        <v>48</v>
      </c>
    </row>
    <row r="4" spans="1:25" x14ac:dyDescent="0.45">
      <c r="A4" t="s">
        <v>49</v>
      </c>
      <c r="B4" t="s">
        <v>25</v>
      </c>
      <c r="C4" s="3" t="s">
        <v>26</v>
      </c>
      <c r="D4" s="3">
        <f t="shared" si="0"/>
        <v>44840</v>
      </c>
      <c r="E4" t="s">
        <v>50</v>
      </c>
      <c r="F4" s="4">
        <f t="shared" si="1"/>
        <v>0.36249999999999999</v>
      </c>
      <c r="G4" t="s">
        <v>51</v>
      </c>
      <c r="H4" t="s">
        <v>52</v>
      </c>
      <c r="I4" t="s">
        <v>43</v>
      </c>
      <c r="J4" t="s">
        <v>53</v>
      </c>
      <c r="K4" t="s">
        <v>54</v>
      </c>
      <c r="L4" t="s">
        <v>34</v>
      </c>
      <c r="M4">
        <v>0</v>
      </c>
      <c r="N4">
        <v>8</v>
      </c>
      <c r="O4">
        <v>7</v>
      </c>
      <c r="P4">
        <v>5</v>
      </c>
      <c r="Q4">
        <v>7</v>
      </c>
      <c r="R4">
        <v>7</v>
      </c>
      <c r="S4" t="s">
        <v>55</v>
      </c>
      <c r="T4" t="s">
        <v>56</v>
      </c>
      <c r="U4" t="s">
        <v>37</v>
      </c>
      <c r="V4">
        <v>23</v>
      </c>
      <c r="W4" t="s">
        <v>57</v>
      </c>
      <c r="X4" t="s">
        <v>28</v>
      </c>
      <c r="Y4" t="s">
        <v>58</v>
      </c>
    </row>
    <row r="5" spans="1:25" x14ac:dyDescent="0.45">
      <c r="A5" t="s">
        <v>59</v>
      </c>
      <c r="B5" t="s">
        <v>25</v>
      </c>
      <c r="C5" s="3" t="s">
        <v>26</v>
      </c>
      <c r="D5" s="3">
        <f t="shared" si="0"/>
        <v>44840</v>
      </c>
      <c r="E5" t="s">
        <v>60</v>
      </c>
      <c r="F5" s="4">
        <f t="shared" si="1"/>
        <v>0.36319444444444443</v>
      </c>
      <c r="G5" t="s">
        <v>61</v>
      </c>
      <c r="H5" t="s">
        <v>62</v>
      </c>
      <c r="I5" t="s">
        <v>31</v>
      </c>
      <c r="J5" t="s">
        <v>63</v>
      </c>
      <c r="K5" t="s">
        <v>45</v>
      </c>
      <c r="L5" t="s">
        <v>46</v>
      </c>
      <c r="M5">
        <v>10</v>
      </c>
      <c r="N5">
        <v>6</v>
      </c>
      <c r="O5">
        <v>7</v>
      </c>
      <c r="P5">
        <v>10</v>
      </c>
      <c r="Q5">
        <v>7</v>
      </c>
      <c r="R5">
        <v>10</v>
      </c>
      <c r="S5" t="s">
        <v>64</v>
      </c>
      <c r="T5" t="s">
        <v>36</v>
      </c>
      <c r="U5" t="s">
        <v>65</v>
      </c>
      <c r="V5">
        <v>35</v>
      </c>
      <c r="W5" t="s">
        <v>47</v>
      </c>
      <c r="X5" t="s">
        <v>28</v>
      </c>
      <c r="Y5" t="s">
        <v>39</v>
      </c>
    </row>
    <row r="6" spans="1:25" x14ac:dyDescent="0.45">
      <c r="A6" t="s">
        <v>66</v>
      </c>
      <c r="B6" t="s">
        <v>25</v>
      </c>
      <c r="C6" s="3" t="s">
        <v>26</v>
      </c>
      <c r="D6" s="3">
        <f t="shared" si="0"/>
        <v>44840</v>
      </c>
      <c r="E6" t="s">
        <v>67</v>
      </c>
      <c r="F6" s="4">
        <f t="shared" si="1"/>
        <v>0.36388888888888887</v>
      </c>
      <c r="G6" t="s">
        <v>68</v>
      </c>
      <c r="H6" t="s">
        <v>30</v>
      </c>
      <c r="I6" t="s">
        <v>31</v>
      </c>
      <c r="J6" t="s">
        <v>44</v>
      </c>
      <c r="K6" t="s">
        <v>33</v>
      </c>
      <c r="L6" t="s">
        <v>46</v>
      </c>
      <c r="M6">
        <v>1</v>
      </c>
      <c r="N6">
        <v>4</v>
      </c>
      <c r="O6">
        <v>4</v>
      </c>
      <c r="P6">
        <v>4</v>
      </c>
      <c r="Q6">
        <v>0</v>
      </c>
      <c r="R6">
        <v>1</v>
      </c>
      <c r="S6" t="s">
        <v>69</v>
      </c>
      <c r="T6" t="s">
        <v>70</v>
      </c>
      <c r="U6" t="s">
        <v>37</v>
      </c>
      <c r="V6">
        <v>44</v>
      </c>
      <c r="W6" t="s">
        <v>38</v>
      </c>
      <c r="X6" t="s">
        <v>28</v>
      </c>
      <c r="Y6" t="s">
        <v>58</v>
      </c>
    </row>
    <row r="7" spans="1:25" x14ac:dyDescent="0.45">
      <c r="A7" t="s">
        <v>71</v>
      </c>
      <c r="B7" t="s">
        <v>25</v>
      </c>
      <c r="C7" s="3" t="s">
        <v>26</v>
      </c>
      <c r="D7" s="3">
        <f t="shared" si="0"/>
        <v>44840</v>
      </c>
      <c r="E7" t="s">
        <v>67</v>
      </c>
      <c r="F7" s="4">
        <f t="shared" si="1"/>
        <v>0.36388888888888887</v>
      </c>
      <c r="G7" t="s">
        <v>72</v>
      </c>
      <c r="H7" t="s">
        <v>30</v>
      </c>
      <c r="I7" t="s">
        <v>31</v>
      </c>
      <c r="J7" t="s">
        <v>53</v>
      </c>
      <c r="K7" t="s">
        <v>73</v>
      </c>
      <c r="L7" t="s">
        <v>34</v>
      </c>
      <c r="M7">
        <v>2</v>
      </c>
      <c r="N7">
        <v>3</v>
      </c>
      <c r="O7">
        <v>3</v>
      </c>
      <c r="P7">
        <v>3</v>
      </c>
      <c r="Q7">
        <v>3</v>
      </c>
      <c r="R7">
        <v>2</v>
      </c>
      <c r="S7" t="s">
        <v>69</v>
      </c>
      <c r="T7" t="s">
        <v>56</v>
      </c>
      <c r="U7" t="s">
        <v>37</v>
      </c>
      <c r="V7">
        <v>33</v>
      </c>
      <c r="W7" t="s">
        <v>74</v>
      </c>
      <c r="X7" t="s">
        <v>28</v>
      </c>
      <c r="Y7" t="s">
        <v>58</v>
      </c>
    </row>
    <row r="8" spans="1:25" x14ac:dyDescent="0.45">
      <c r="A8" t="s">
        <v>75</v>
      </c>
      <c r="B8" t="s">
        <v>25</v>
      </c>
      <c r="C8" s="3" t="s">
        <v>26</v>
      </c>
      <c r="D8" s="3">
        <f t="shared" si="0"/>
        <v>44840</v>
      </c>
      <c r="E8" t="s">
        <v>67</v>
      </c>
      <c r="F8" s="4">
        <f t="shared" si="1"/>
        <v>0.36388888888888887</v>
      </c>
      <c r="G8" t="s">
        <v>76</v>
      </c>
      <c r="H8" t="s">
        <v>77</v>
      </c>
      <c r="I8" t="s">
        <v>31</v>
      </c>
      <c r="J8" t="s">
        <v>53</v>
      </c>
      <c r="K8" t="s">
        <v>45</v>
      </c>
      <c r="L8" t="s">
        <v>34</v>
      </c>
      <c r="M8">
        <v>0</v>
      </c>
      <c r="N8">
        <v>6</v>
      </c>
      <c r="O8">
        <v>6</v>
      </c>
      <c r="P8">
        <v>6</v>
      </c>
      <c r="Q8">
        <v>6</v>
      </c>
      <c r="R8">
        <v>5</v>
      </c>
      <c r="S8" t="s">
        <v>69</v>
      </c>
      <c r="T8" t="s">
        <v>70</v>
      </c>
      <c r="U8" t="s">
        <v>37</v>
      </c>
      <c r="V8">
        <v>24</v>
      </c>
      <c r="W8" t="s">
        <v>78</v>
      </c>
      <c r="X8" t="s">
        <v>28</v>
      </c>
      <c r="Y8" t="s">
        <v>58</v>
      </c>
    </row>
    <row r="9" spans="1:25" x14ac:dyDescent="0.45">
      <c r="A9" t="s">
        <v>79</v>
      </c>
      <c r="B9" t="s">
        <v>25</v>
      </c>
      <c r="C9" s="3" t="s">
        <v>26</v>
      </c>
      <c r="D9" s="3">
        <f t="shared" si="0"/>
        <v>44840</v>
      </c>
      <c r="E9" t="s">
        <v>80</v>
      </c>
      <c r="F9" s="4">
        <f t="shared" si="1"/>
        <v>0.36458333333333331</v>
      </c>
      <c r="G9" t="s">
        <v>81</v>
      </c>
      <c r="H9" t="s">
        <v>52</v>
      </c>
      <c r="I9" t="s">
        <v>31</v>
      </c>
      <c r="J9" t="s">
        <v>82</v>
      </c>
      <c r="K9" t="s">
        <v>83</v>
      </c>
      <c r="L9" t="s">
        <v>84</v>
      </c>
      <c r="M9">
        <v>10</v>
      </c>
      <c r="N9">
        <v>5</v>
      </c>
      <c r="O9">
        <v>5</v>
      </c>
      <c r="P9">
        <v>5</v>
      </c>
      <c r="Q9">
        <v>5</v>
      </c>
      <c r="R9">
        <v>9</v>
      </c>
      <c r="S9" t="s">
        <v>85</v>
      </c>
      <c r="T9" t="s">
        <v>36</v>
      </c>
      <c r="U9" t="s">
        <v>37</v>
      </c>
      <c r="V9">
        <v>35</v>
      </c>
      <c r="W9" t="s">
        <v>38</v>
      </c>
      <c r="X9" t="s">
        <v>28</v>
      </c>
      <c r="Y9" t="s">
        <v>48</v>
      </c>
    </row>
    <row r="10" spans="1:25" x14ac:dyDescent="0.45">
      <c r="A10" t="s">
        <v>86</v>
      </c>
      <c r="B10" t="s">
        <v>25</v>
      </c>
      <c r="C10" s="3" t="s">
        <v>26</v>
      </c>
      <c r="D10" s="3">
        <f t="shared" si="0"/>
        <v>44840</v>
      </c>
      <c r="E10" t="s">
        <v>80</v>
      </c>
      <c r="F10" s="4">
        <f t="shared" si="1"/>
        <v>0.36458333333333331</v>
      </c>
      <c r="G10" t="s">
        <v>61</v>
      </c>
      <c r="H10" t="s">
        <v>30</v>
      </c>
      <c r="I10" t="s">
        <v>31</v>
      </c>
      <c r="J10" t="s">
        <v>87</v>
      </c>
      <c r="K10" t="s">
        <v>33</v>
      </c>
      <c r="L10" t="s">
        <v>46</v>
      </c>
      <c r="M10">
        <v>4</v>
      </c>
      <c r="N10">
        <v>4</v>
      </c>
      <c r="O10">
        <v>4</v>
      </c>
      <c r="P10">
        <v>4</v>
      </c>
      <c r="Q10">
        <v>5</v>
      </c>
      <c r="R10">
        <v>5</v>
      </c>
      <c r="S10" t="s">
        <v>85</v>
      </c>
      <c r="T10" t="s">
        <v>70</v>
      </c>
      <c r="U10" t="s">
        <v>37</v>
      </c>
      <c r="V10">
        <v>35</v>
      </c>
      <c r="W10" t="s">
        <v>38</v>
      </c>
      <c r="X10" t="s">
        <v>28</v>
      </c>
      <c r="Y10" t="s">
        <v>48</v>
      </c>
    </row>
    <row r="11" spans="1:25" x14ac:dyDescent="0.45">
      <c r="A11" t="s">
        <v>88</v>
      </c>
      <c r="B11" t="s">
        <v>25</v>
      </c>
      <c r="C11" s="3" t="s">
        <v>26</v>
      </c>
      <c r="D11" s="3">
        <f t="shared" si="0"/>
        <v>44840</v>
      </c>
      <c r="E11" t="s">
        <v>80</v>
      </c>
      <c r="F11" s="4">
        <f t="shared" si="1"/>
        <v>0.36458333333333331</v>
      </c>
      <c r="G11" t="s">
        <v>89</v>
      </c>
      <c r="H11" t="s">
        <v>30</v>
      </c>
      <c r="I11" t="s">
        <v>31</v>
      </c>
      <c r="J11" t="s">
        <v>44</v>
      </c>
      <c r="K11" t="s">
        <v>90</v>
      </c>
      <c r="L11" t="s">
        <v>34</v>
      </c>
      <c r="M11">
        <v>2</v>
      </c>
      <c r="N11">
        <v>0</v>
      </c>
      <c r="O11">
        <v>3</v>
      </c>
      <c r="P11">
        <v>3</v>
      </c>
      <c r="Q11">
        <v>0</v>
      </c>
      <c r="R11">
        <v>4</v>
      </c>
      <c r="S11" t="s">
        <v>35</v>
      </c>
      <c r="T11" t="s">
        <v>70</v>
      </c>
      <c r="U11" t="s">
        <v>37</v>
      </c>
      <c r="V11">
        <v>28</v>
      </c>
      <c r="W11" t="s">
        <v>38</v>
      </c>
      <c r="X11" t="s">
        <v>28</v>
      </c>
      <c r="Y11" t="s">
        <v>91</v>
      </c>
    </row>
    <row r="12" spans="1:25" x14ac:dyDescent="0.45">
      <c r="A12" t="s">
        <v>92</v>
      </c>
      <c r="B12" t="s">
        <v>25</v>
      </c>
      <c r="C12" s="3" t="s">
        <v>26</v>
      </c>
      <c r="D12" s="3">
        <f t="shared" si="0"/>
        <v>44840</v>
      </c>
      <c r="E12" t="s">
        <v>80</v>
      </c>
      <c r="F12" s="4">
        <f t="shared" si="1"/>
        <v>0.36458333333333331</v>
      </c>
      <c r="G12" t="s">
        <v>93</v>
      </c>
      <c r="H12" t="s">
        <v>30</v>
      </c>
      <c r="I12" t="s">
        <v>31</v>
      </c>
      <c r="J12" t="s">
        <v>94</v>
      </c>
      <c r="K12" t="s">
        <v>95</v>
      </c>
      <c r="L12" t="s">
        <v>34</v>
      </c>
      <c r="M12">
        <v>10</v>
      </c>
      <c r="N12">
        <v>10</v>
      </c>
      <c r="O12">
        <v>8</v>
      </c>
      <c r="P12">
        <v>8</v>
      </c>
      <c r="Q12">
        <v>8</v>
      </c>
      <c r="R12">
        <v>10</v>
      </c>
      <c r="S12" t="s">
        <v>85</v>
      </c>
      <c r="T12" t="s">
        <v>36</v>
      </c>
      <c r="U12" t="s">
        <v>37</v>
      </c>
      <c r="V12">
        <v>37</v>
      </c>
      <c r="W12" t="s">
        <v>47</v>
      </c>
      <c r="X12" t="s">
        <v>28</v>
      </c>
      <c r="Y12" t="s">
        <v>39</v>
      </c>
    </row>
    <row r="13" spans="1:25" x14ac:dyDescent="0.45">
      <c r="A13" t="s">
        <v>96</v>
      </c>
      <c r="B13" t="s">
        <v>25</v>
      </c>
      <c r="C13" s="3" t="s">
        <v>26</v>
      </c>
      <c r="D13" s="3">
        <f t="shared" si="0"/>
        <v>44840</v>
      </c>
      <c r="E13" t="s">
        <v>80</v>
      </c>
      <c r="F13" s="4">
        <f t="shared" si="1"/>
        <v>0.36458333333333331</v>
      </c>
      <c r="G13" t="s">
        <v>97</v>
      </c>
      <c r="H13" t="s">
        <v>30</v>
      </c>
      <c r="I13" t="s">
        <v>31</v>
      </c>
      <c r="J13" t="s">
        <v>53</v>
      </c>
      <c r="K13" t="s">
        <v>98</v>
      </c>
      <c r="L13" t="s">
        <v>34</v>
      </c>
      <c r="M13">
        <v>3</v>
      </c>
      <c r="N13">
        <v>8</v>
      </c>
      <c r="O13">
        <v>10</v>
      </c>
      <c r="P13">
        <v>10</v>
      </c>
      <c r="Q13">
        <v>7</v>
      </c>
      <c r="R13">
        <v>8</v>
      </c>
      <c r="S13" t="s">
        <v>85</v>
      </c>
      <c r="T13" t="s">
        <v>70</v>
      </c>
      <c r="U13" t="s">
        <v>37</v>
      </c>
      <c r="V13">
        <v>32</v>
      </c>
      <c r="W13" t="s">
        <v>99</v>
      </c>
      <c r="X13" t="s">
        <v>28</v>
      </c>
      <c r="Y13" t="s">
        <v>39</v>
      </c>
    </row>
    <row r="14" spans="1:25" x14ac:dyDescent="0.45">
      <c r="A14" t="s">
        <v>100</v>
      </c>
      <c r="B14" t="s">
        <v>25</v>
      </c>
      <c r="C14" s="3" t="s">
        <v>26</v>
      </c>
      <c r="D14" s="3">
        <f t="shared" si="0"/>
        <v>44840</v>
      </c>
      <c r="E14" t="s">
        <v>101</v>
      </c>
      <c r="F14" s="4">
        <f t="shared" si="1"/>
        <v>0.36527777777777776</v>
      </c>
      <c r="G14" t="s">
        <v>102</v>
      </c>
      <c r="H14" t="s">
        <v>30</v>
      </c>
      <c r="I14" t="s">
        <v>31</v>
      </c>
      <c r="J14" t="s">
        <v>53</v>
      </c>
      <c r="K14" t="s">
        <v>103</v>
      </c>
      <c r="L14" t="s">
        <v>46</v>
      </c>
      <c r="M14">
        <v>1</v>
      </c>
      <c r="N14">
        <v>10</v>
      </c>
      <c r="O14">
        <v>9</v>
      </c>
      <c r="P14">
        <v>9</v>
      </c>
      <c r="Q14">
        <v>5</v>
      </c>
      <c r="R14">
        <v>10</v>
      </c>
      <c r="S14" t="s">
        <v>85</v>
      </c>
      <c r="T14" t="s">
        <v>70</v>
      </c>
      <c r="U14" t="s">
        <v>37</v>
      </c>
      <c r="V14">
        <v>34</v>
      </c>
      <c r="W14" t="s">
        <v>104</v>
      </c>
      <c r="X14" t="s">
        <v>28</v>
      </c>
      <c r="Y14" t="s">
        <v>105</v>
      </c>
    </row>
    <row r="15" spans="1:25" x14ac:dyDescent="0.45">
      <c r="A15" t="s">
        <v>106</v>
      </c>
      <c r="B15" t="s">
        <v>25</v>
      </c>
      <c r="C15" s="3" t="s">
        <v>26</v>
      </c>
      <c r="D15" s="3">
        <f t="shared" si="0"/>
        <v>44840</v>
      </c>
      <c r="E15" t="s">
        <v>101</v>
      </c>
      <c r="F15" s="4">
        <f t="shared" si="1"/>
        <v>0.36527777777777776</v>
      </c>
      <c r="G15" t="s">
        <v>107</v>
      </c>
      <c r="H15" t="s">
        <v>77</v>
      </c>
      <c r="I15" t="s">
        <v>31</v>
      </c>
      <c r="J15" t="s">
        <v>53</v>
      </c>
      <c r="K15" t="s">
        <v>108</v>
      </c>
      <c r="L15" t="s">
        <v>34</v>
      </c>
      <c r="M15">
        <v>3</v>
      </c>
      <c r="N15">
        <v>10</v>
      </c>
      <c r="O15">
        <v>10</v>
      </c>
      <c r="P15">
        <v>6</v>
      </c>
      <c r="Q15">
        <v>7</v>
      </c>
      <c r="R15">
        <v>8</v>
      </c>
      <c r="S15" t="s">
        <v>55</v>
      </c>
      <c r="T15" t="s">
        <v>56</v>
      </c>
      <c r="U15" t="s">
        <v>37</v>
      </c>
      <c r="V15">
        <v>30</v>
      </c>
      <c r="W15" t="s">
        <v>109</v>
      </c>
      <c r="X15" t="s">
        <v>28</v>
      </c>
      <c r="Y15" t="s">
        <v>39</v>
      </c>
    </row>
    <row r="16" spans="1:25" x14ac:dyDescent="0.45">
      <c r="A16" t="s">
        <v>110</v>
      </c>
      <c r="B16" t="s">
        <v>25</v>
      </c>
      <c r="C16" s="3" t="s">
        <v>26</v>
      </c>
      <c r="D16" s="3">
        <f t="shared" si="0"/>
        <v>44840</v>
      </c>
      <c r="E16" t="s">
        <v>111</v>
      </c>
      <c r="F16" s="4">
        <f t="shared" si="1"/>
        <v>0.3659722222222222</v>
      </c>
      <c r="G16" t="s">
        <v>112</v>
      </c>
      <c r="H16" t="s">
        <v>30</v>
      </c>
      <c r="I16" t="s">
        <v>43</v>
      </c>
      <c r="J16" t="s">
        <v>44</v>
      </c>
      <c r="K16" t="s">
        <v>113</v>
      </c>
      <c r="L16" t="s">
        <v>46</v>
      </c>
      <c r="M16">
        <v>4</v>
      </c>
      <c r="N16">
        <v>5</v>
      </c>
      <c r="O16">
        <v>5</v>
      </c>
      <c r="P16">
        <v>5</v>
      </c>
      <c r="Q16">
        <v>4</v>
      </c>
      <c r="R16">
        <v>5</v>
      </c>
      <c r="S16" t="s">
        <v>85</v>
      </c>
      <c r="T16" t="s">
        <v>114</v>
      </c>
      <c r="U16" t="s">
        <v>37</v>
      </c>
      <c r="V16">
        <v>31</v>
      </c>
      <c r="W16" t="s">
        <v>38</v>
      </c>
      <c r="X16" t="s">
        <v>28</v>
      </c>
      <c r="Y16" t="s">
        <v>39</v>
      </c>
    </row>
    <row r="17" spans="1:25" x14ac:dyDescent="0.45">
      <c r="A17" t="s">
        <v>115</v>
      </c>
      <c r="B17" t="s">
        <v>25</v>
      </c>
      <c r="C17" s="3" t="s">
        <v>26</v>
      </c>
      <c r="D17" s="3">
        <f t="shared" si="0"/>
        <v>44840</v>
      </c>
      <c r="E17" t="s">
        <v>111</v>
      </c>
      <c r="F17" s="4">
        <f t="shared" si="1"/>
        <v>0.3659722222222222</v>
      </c>
      <c r="G17" t="s">
        <v>116</v>
      </c>
      <c r="H17" t="s">
        <v>30</v>
      </c>
      <c r="I17" t="s">
        <v>31</v>
      </c>
      <c r="J17" t="s">
        <v>44</v>
      </c>
      <c r="K17" t="s">
        <v>45</v>
      </c>
      <c r="L17" t="s">
        <v>34</v>
      </c>
      <c r="M17">
        <v>4</v>
      </c>
      <c r="N17">
        <v>10</v>
      </c>
      <c r="O17">
        <v>7</v>
      </c>
      <c r="P17">
        <v>7</v>
      </c>
      <c r="Q17">
        <v>7</v>
      </c>
      <c r="R17">
        <v>5</v>
      </c>
      <c r="S17" t="s">
        <v>69</v>
      </c>
      <c r="T17" t="s">
        <v>114</v>
      </c>
      <c r="U17" t="s">
        <v>37</v>
      </c>
      <c r="V17">
        <v>29</v>
      </c>
      <c r="W17" t="s">
        <v>38</v>
      </c>
      <c r="X17" t="s">
        <v>28</v>
      </c>
      <c r="Y17" t="s">
        <v>39</v>
      </c>
    </row>
    <row r="18" spans="1:25" x14ac:dyDescent="0.45">
      <c r="A18" t="s">
        <v>117</v>
      </c>
      <c r="B18" t="s">
        <v>25</v>
      </c>
      <c r="C18" s="3" t="s">
        <v>26</v>
      </c>
      <c r="D18" s="3">
        <f t="shared" si="0"/>
        <v>44840</v>
      </c>
      <c r="E18" t="s">
        <v>118</v>
      </c>
      <c r="F18" s="4">
        <f t="shared" si="1"/>
        <v>0.36666666666666664</v>
      </c>
      <c r="G18" t="s">
        <v>119</v>
      </c>
      <c r="H18" t="s">
        <v>30</v>
      </c>
      <c r="I18" t="s">
        <v>31</v>
      </c>
      <c r="J18" t="s">
        <v>53</v>
      </c>
      <c r="K18" t="s">
        <v>103</v>
      </c>
      <c r="L18" t="s">
        <v>34</v>
      </c>
      <c r="M18">
        <v>1</v>
      </c>
      <c r="N18">
        <v>2</v>
      </c>
      <c r="O18">
        <v>4</v>
      </c>
      <c r="P18">
        <v>2</v>
      </c>
      <c r="Q18">
        <v>2</v>
      </c>
      <c r="R18">
        <v>2</v>
      </c>
      <c r="S18" t="s">
        <v>85</v>
      </c>
      <c r="T18" t="s">
        <v>70</v>
      </c>
      <c r="U18" t="s">
        <v>37</v>
      </c>
      <c r="V18">
        <v>22</v>
      </c>
      <c r="W18" t="s">
        <v>120</v>
      </c>
      <c r="X18" t="s">
        <v>28</v>
      </c>
      <c r="Y18" t="s">
        <v>58</v>
      </c>
    </row>
    <row r="19" spans="1:25" x14ac:dyDescent="0.45">
      <c r="A19" t="s">
        <v>121</v>
      </c>
      <c r="B19" t="s">
        <v>25</v>
      </c>
      <c r="C19" s="3" t="s">
        <v>26</v>
      </c>
      <c r="D19" s="3">
        <f t="shared" si="0"/>
        <v>44840</v>
      </c>
      <c r="E19" t="s">
        <v>118</v>
      </c>
      <c r="F19" s="4">
        <f t="shared" si="1"/>
        <v>0.36666666666666664</v>
      </c>
      <c r="G19" t="s">
        <v>122</v>
      </c>
      <c r="H19" t="s">
        <v>123</v>
      </c>
      <c r="I19" t="s">
        <v>31</v>
      </c>
      <c r="J19" t="s">
        <v>53</v>
      </c>
      <c r="K19" t="s">
        <v>83</v>
      </c>
      <c r="L19" t="s">
        <v>34</v>
      </c>
      <c r="M19">
        <v>1</v>
      </c>
      <c r="N19">
        <v>3</v>
      </c>
      <c r="O19">
        <v>2</v>
      </c>
      <c r="P19">
        <v>2</v>
      </c>
      <c r="Q19">
        <v>4</v>
      </c>
      <c r="R19">
        <v>1</v>
      </c>
      <c r="S19" t="s">
        <v>69</v>
      </c>
      <c r="T19" t="s">
        <v>70</v>
      </c>
      <c r="U19" t="s">
        <v>37</v>
      </c>
      <c r="V19">
        <v>23</v>
      </c>
      <c r="W19" t="s">
        <v>38</v>
      </c>
      <c r="X19" t="s">
        <v>28</v>
      </c>
      <c r="Y19" t="s">
        <v>58</v>
      </c>
    </row>
    <row r="20" spans="1:25" x14ac:dyDescent="0.45">
      <c r="A20" t="s">
        <v>124</v>
      </c>
      <c r="B20" t="s">
        <v>25</v>
      </c>
      <c r="C20" s="3" t="s">
        <v>26</v>
      </c>
      <c r="D20" s="3">
        <f t="shared" si="0"/>
        <v>44840</v>
      </c>
      <c r="E20" t="s">
        <v>125</v>
      </c>
      <c r="F20" s="4">
        <f t="shared" si="1"/>
        <v>0.36736111111111114</v>
      </c>
      <c r="G20" t="s">
        <v>126</v>
      </c>
      <c r="H20" t="s">
        <v>123</v>
      </c>
      <c r="I20" t="s">
        <v>43</v>
      </c>
      <c r="J20" t="s">
        <v>44</v>
      </c>
      <c r="K20" t="s">
        <v>103</v>
      </c>
      <c r="L20" t="s">
        <v>46</v>
      </c>
      <c r="M20">
        <v>7</v>
      </c>
      <c r="N20">
        <v>8</v>
      </c>
      <c r="O20">
        <v>8</v>
      </c>
      <c r="P20">
        <v>6</v>
      </c>
      <c r="Q20">
        <v>8</v>
      </c>
      <c r="R20">
        <v>3</v>
      </c>
      <c r="S20" t="s">
        <v>35</v>
      </c>
      <c r="T20" t="s">
        <v>70</v>
      </c>
      <c r="U20" t="s">
        <v>65</v>
      </c>
      <c r="V20">
        <v>26</v>
      </c>
      <c r="W20" t="s">
        <v>47</v>
      </c>
      <c r="X20" t="s">
        <v>28</v>
      </c>
      <c r="Y20" t="s">
        <v>48</v>
      </c>
    </row>
    <row r="21" spans="1:25" x14ac:dyDescent="0.45">
      <c r="A21" t="s">
        <v>127</v>
      </c>
      <c r="B21" t="s">
        <v>25</v>
      </c>
      <c r="C21" s="3" t="s">
        <v>26</v>
      </c>
      <c r="D21" s="3">
        <f t="shared" si="0"/>
        <v>44840</v>
      </c>
      <c r="E21" t="s">
        <v>125</v>
      </c>
      <c r="F21" s="4">
        <f t="shared" si="1"/>
        <v>0.36736111111111114</v>
      </c>
      <c r="G21" t="s">
        <v>128</v>
      </c>
      <c r="H21" t="s">
        <v>30</v>
      </c>
      <c r="I21" t="s">
        <v>43</v>
      </c>
      <c r="J21" t="s">
        <v>53</v>
      </c>
      <c r="K21" t="s">
        <v>129</v>
      </c>
      <c r="L21" t="s">
        <v>34</v>
      </c>
      <c r="M21">
        <v>1</v>
      </c>
      <c r="N21">
        <v>1</v>
      </c>
      <c r="O21">
        <v>1</v>
      </c>
      <c r="P21">
        <v>1</v>
      </c>
      <c r="Q21">
        <v>2</v>
      </c>
      <c r="R21">
        <v>0</v>
      </c>
      <c r="S21" t="s">
        <v>35</v>
      </c>
      <c r="T21" t="s">
        <v>70</v>
      </c>
      <c r="U21" t="s">
        <v>37</v>
      </c>
      <c r="V21">
        <v>28</v>
      </c>
      <c r="W21" t="s">
        <v>57</v>
      </c>
      <c r="X21" t="s">
        <v>28</v>
      </c>
      <c r="Y21" t="s">
        <v>58</v>
      </c>
    </row>
    <row r="22" spans="1:25" x14ac:dyDescent="0.45">
      <c r="A22" t="s">
        <v>130</v>
      </c>
      <c r="B22" t="s">
        <v>25</v>
      </c>
      <c r="C22" s="3" t="s">
        <v>26</v>
      </c>
      <c r="D22" s="3">
        <f t="shared" si="0"/>
        <v>44840</v>
      </c>
      <c r="E22" t="s">
        <v>125</v>
      </c>
      <c r="F22" s="4">
        <f t="shared" si="1"/>
        <v>0.36736111111111114</v>
      </c>
      <c r="G22" t="s">
        <v>131</v>
      </c>
      <c r="H22" t="s">
        <v>30</v>
      </c>
      <c r="I22" t="s">
        <v>31</v>
      </c>
      <c r="J22" t="s">
        <v>44</v>
      </c>
      <c r="K22" t="s">
        <v>45</v>
      </c>
      <c r="L22" t="s">
        <v>34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 t="s">
        <v>55</v>
      </c>
      <c r="T22" t="s">
        <v>36</v>
      </c>
      <c r="U22" t="s">
        <v>37</v>
      </c>
      <c r="V22">
        <v>29</v>
      </c>
      <c r="W22" t="s">
        <v>132</v>
      </c>
      <c r="X22" t="s">
        <v>28</v>
      </c>
      <c r="Y22" t="s">
        <v>58</v>
      </c>
    </row>
    <row r="23" spans="1:25" x14ac:dyDescent="0.45">
      <c r="A23" t="s">
        <v>133</v>
      </c>
      <c r="B23" t="s">
        <v>25</v>
      </c>
      <c r="C23" s="3" t="s">
        <v>26</v>
      </c>
      <c r="D23" s="3">
        <f t="shared" si="0"/>
        <v>44840</v>
      </c>
      <c r="E23" t="s">
        <v>134</v>
      </c>
      <c r="F23" s="4">
        <f t="shared" si="1"/>
        <v>0.36805555555555558</v>
      </c>
      <c r="G23" t="s">
        <v>135</v>
      </c>
      <c r="H23" t="s">
        <v>30</v>
      </c>
      <c r="I23" t="s">
        <v>31</v>
      </c>
      <c r="J23" t="s">
        <v>32</v>
      </c>
      <c r="K23" t="s">
        <v>103</v>
      </c>
      <c r="L23" t="s">
        <v>136</v>
      </c>
      <c r="M23">
        <v>10</v>
      </c>
      <c r="N23">
        <v>5</v>
      </c>
      <c r="O23">
        <v>10</v>
      </c>
      <c r="P23">
        <v>6</v>
      </c>
      <c r="Q23">
        <v>10</v>
      </c>
      <c r="R23">
        <v>10</v>
      </c>
      <c r="S23" t="s">
        <v>85</v>
      </c>
      <c r="T23" t="s">
        <v>36</v>
      </c>
      <c r="U23" t="s">
        <v>65</v>
      </c>
      <c r="V23">
        <v>31</v>
      </c>
      <c r="W23" t="s">
        <v>38</v>
      </c>
      <c r="X23" t="s">
        <v>28</v>
      </c>
      <c r="Y23" t="s">
        <v>39</v>
      </c>
    </row>
    <row r="24" spans="1:25" x14ac:dyDescent="0.45">
      <c r="A24" t="s">
        <v>137</v>
      </c>
      <c r="B24" t="s">
        <v>25</v>
      </c>
      <c r="C24" s="3" t="s">
        <v>26</v>
      </c>
      <c r="D24" s="3">
        <f t="shared" si="0"/>
        <v>44840</v>
      </c>
      <c r="E24" t="s">
        <v>138</v>
      </c>
      <c r="F24" s="4">
        <f t="shared" si="1"/>
        <v>0.36875000000000002</v>
      </c>
      <c r="G24" t="s">
        <v>81</v>
      </c>
      <c r="H24" t="s">
        <v>30</v>
      </c>
      <c r="I24" t="s">
        <v>31</v>
      </c>
      <c r="J24" t="s">
        <v>53</v>
      </c>
      <c r="K24" t="s">
        <v>33</v>
      </c>
      <c r="L24" t="s">
        <v>34</v>
      </c>
      <c r="M24">
        <v>5</v>
      </c>
      <c r="N24">
        <v>6</v>
      </c>
      <c r="O24">
        <v>8</v>
      </c>
      <c r="P24">
        <v>8</v>
      </c>
      <c r="Q24">
        <v>7</v>
      </c>
      <c r="R24">
        <v>1</v>
      </c>
      <c r="S24" t="s">
        <v>85</v>
      </c>
      <c r="T24" t="s">
        <v>36</v>
      </c>
      <c r="U24" t="s">
        <v>37</v>
      </c>
      <c r="V24">
        <v>28</v>
      </c>
      <c r="W24" t="s">
        <v>139</v>
      </c>
      <c r="X24" t="s">
        <v>28</v>
      </c>
      <c r="Y24" t="s">
        <v>39</v>
      </c>
    </row>
    <row r="25" spans="1:25" x14ac:dyDescent="0.45">
      <c r="A25" t="s">
        <v>140</v>
      </c>
      <c r="B25" t="s">
        <v>25</v>
      </c>
      <c r="C25" s="3" t="s">
        <v>26</v>
      </c>
      <c r="D25" s="3">
        <f t="shared" si="0"/>
        <v>44840</v>
      </c>
      <c r="E25" t="s">
        <v>138</v>
      </c>
      <c r="F25" s="4">
        <f t="shared" si="1"/>
        <v>0.36875000000000002</v>
      </c>
      <c r="G25" t="s">
        <v>141</v>
      </c>
      <c r="H25" t="s">
        <v>30</v>
      </c>
      <c r="I25" t="s">
        <v>43</v>
      </c>
      <c r="J25" t="s">
        <v>53</v>
      </c>
      <c r="K25" t="s">
        <v>45</v>
      </c>
      <c r="L25" t="s">
        <v>34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 t="s">
        <v>85</v>
      </c>
      <c r="T25" t="s">
        <v>70</v>
      </c>
      <c r="U25" t="s">
        <v>37</v>
      </c>
      <c r="V25">
        <v>32</v>
      </c>
      <c r="W25" t="s">
        <v>104</v>
      </c>
      <c r="X25" t="s">
        <v>28</v>
      </c>
      <c r="Y25" t="s">
        <v>91</v>
      </c>
    </row>
    <row r="26" spans="1:25" x14ac:dyDescent="0.45">
      <c r="A26" t="s">
        <v>142</v>
      </c>
      <c r="B26" t="s">
        <v>25</v>
      </c>
      <c r="C26" s="3" t="s">
        <v>26</v>
      </c>
      <c r="D26" s="3">
        <f t="shared" si="0"/>
        <v>44840</v>
      </c>
      <c r="E26" t="s">
        <v>138</v>
      </c>
      <c r="F26" s="4">
        <f t="shared" si="1"/>
        <v>0.36875000000000002</v>
      </c>
      <c r="G26" t="s">
        <v>143</v>
      </c>
      <c r="H26" t="s">
        <v>30</v>
      </c>
      <c r="I26" t="s">
        <v>43</v>
      </c>
      <c r="J26" t="s">
        <v>53</v>
      </c>
      <c r="K26" t="s">
        <v>103</v>
      </c>
      <c r="L26" t="s">
        <v>34</v>
      </c>
      <c r="M26">
        <v>7</v>
      </c>
      <c r="N26">
        <v>8</v>
      </c>
      <c r="O26">
        <v>8</v>
      </c>
      <c r="P26">
        <v>8</v>
      </c>
      <c r="Q26">
        <v>3</v>
      </c>
      <c r="R26">
        <v>8</v>
      </c>
      <c r="S26" t="s">
        <v>55</v>
      </c>
      <c r="T26" t="s">
        <v>70</v>
      </c>
      <c r="U26" t="s">
        <v>37</v>
      </c>
      <c r="V26">
        <v>24</v>
      </c>
      <c r="W26" t="s">
        <v>144</v>
      </c>
      <c r="X26" t="s">
        <v>28</v>
      </c>
      <c r="Y26" t="s">
        <v>58</v>
      </c>
    </row>
    <row r="27" spans="1:25" x14ac:dyDescent="0.45">
      <c r="A27" t="s">
        <v>145</v>
      </c>
      <c r="B27" t="s">
        <v>25</v>
      </c>
      <c r="C27" s="3" t="s">
        <v>26</v>
      </c>
      <c r="D27" s="3">
        <f t="shared" si="0"/>
        <v>44840</v>
      </c>
      <c r="E27" t="s">
        <v>138</v>
      </c>
      <c r="F27" s="4">
        <f t="shared" si="1"/>
        <v>0.36875000000000002</v>
      </c>
      <c r="G27" t="s">
        <v>146</v>
      </c>
      <c r="H27" t="s">
        <v>30</v>
      </c>
      <c r="I27" t="s">
        <v>43</v>
      </c>
      <c r="J27" t="s">
        <v>53</v>
      </c>
      <c r="K27" t="s">
        <v>103</v>
      </c>
      <c r="L27" t="s">
        <v>34</v>
      </c>
      <c r="M27">
        <v>4</v>
      </c>
      <c r="N27">
        <v>6</v>
      </c>
      <c r="O27">
        <v>6</v>
      </c>
      <c r="P27">
        <v>6</v>
      </c>
      <c r="Q27">
        <v>7</v>
      </c>
      <c r="R27">
        <v>7</v>
      </c>
      <c r="S27" t="s">
        <v>55</v>
      </c>
      <c r="T27" t="s">
        <v>56</v>
      </c>
      <c r="U27" t="s">
        <v>37</v>
      </c>
      <c r="V27">
        <v>31</v>
      </c>
      <c r="W27" t="s">
        <v>147</v>
      </c>
      <c r="X27" t="s">
        <v>28</v>
      </c>
      <c r="Y27" t="s">
        <v>48</v>
      </c>
    </row>
    <row r="28" spans="1:25" x14ac:dyDescent="0.45">
      <c r="A28" t="s">
        <v>148</v>
      </c>
      <c r="B28" t="s">
        <v>25</v>
      </c>
      <c r="C28" s="3" t="s">
        <v>26</v>
      </c>
      <c r="D28" s="3">
        <f t="shared" si="0"/>
        <v>44840</v>
      </c>
      <c r="E28" t="s">
        <v>149</v>
      </c>
      <c r="F28" s="4">
        <f t="shared" si="1"/>
        <v>0.36944444444444446</v>
      </c>
      <c r="G28" t="s">
        <v>150</v>
      </c>
      <c r="H28" t="s">
        <v>30</v>
      </c>
      <c r="I28" t="s">
        <v>43</v>
      </c>
      <c r="J28" t="s">
        <v>94</v>
      </c>
      <c r="K28" t="s">
        <v>151</v>
      </c>
      <c r="L28" t="s">
        <v>84</v>
      </c>
      <c r="M28">
        <v>7</v>
      </c>
      <c r="N28">
        <v>10</v>
      </c>
      <c r="O28">
        <v>5</v>
      </c>
      <c r="P28">
        <v>5</v>
      </c>
      <c r="Q28">
        <v>5</v>
      </c>
      <c r="R28">
        <v>2</v>
      </c>
      <c r="S28" t="s">
        <v>69</v>
      </c>
      <c r="T28" t="s">
        <v>152</v>
      </c>
      <c r="U28" t="s">
        <v>37</v>
      </c>
      <c r="V28">
        <v>23</v>
      </c>
      <c r="W28" t="s">
        <v>38</v>
      </c>
      <c r="X28" t="s">
        <v>28</v>
      </c>
      <c r="Y28" t="s">
        <v>39</v>
      </c>
    </row>
    <row r="29" spans="1:25" x14ac:dyDescent="0.45">
      <c r="A29" t="s">
        <v>153</v>
      </c>
      <c r="B29" t="s">
        <v>25</v>
      </c>
      <c r="C29" s="3" t="s">
        <v>26</v>
      </c>
      <c r="D29" s="3">
        <f t="shared" si="0"/>
        <v>44840</v>
      </c>
      <c r="E29" t="s">
        <v>149</v>
      </c>
      <c r="F29" s="4">
        <f t="shared" si="1"/>
        <v>0.36944444444444446</v>
      </c>
      <c r="G29" t="s">
        <v>154</v>
      </c>
      <c r="H29" t="s">
        <v>30</v>
      </c>
      <c r="I29" t="s">
        <v>31</v>
      </c>
      <c r="J29" t="s">
        <v>32</v>
      </c>
      <c r="K29" t="s">
        <v>155</v>
      </c>
      <c r="L29" t="s">
        <v>34</v>
      </c>
      <c r="M29">
        <v>1</v>
      </c>
      <c r="N29">
        <v>6</v>
      </c>
      <c r="O29">
        <v>9</v>
      </c>
      <c r="P29">
        <v>1</v>
      </c>
      <c r="Q29">
        <v>0</v>
      </c>
      <c r="R29">
        <v>2</v>
      </c>
      <c r="S29" t="s">
        <v>69</v>
      </c>
      <c r="T29" t="s">
        <v>36</v>
      </c>
      <c r="U29" t="s">
        <v>65</v>
      </c>
      <c r="V29">
        <v>33</v>
      </c>
      <c r="W29" t="s">
        <v>38</v>
      </c>
      <c r="X29" t="s">
        <v>28</v>
      </c>
      <c r="Y29" t="s">
        <v>48</v>
      </c>
    </row>
    <row r="30" spans="1:25" x14ac:dyDescent="0.45">
      <c r="A30" t="s">
        <v>156</v>
      </c>
      <c r="B30" t="s">
        <v>25</v>
      </c>
      <c r="C30" s="3" t="s">
        <v>26</v>
      </c>
      <c r="D30" s="3">
        <f t="shared" si="0"/>
        <v>44840</v>
      </c>
      <c r="E30" t="s">
        <v>149</v>
      </c>
      <c r="F30" s="4">
        <f t="shared" si="1"/>
        <v>0.36944444444444446</v>
      </c>
      <c r="G30" t="s">
        <v>157</v>
      </c>
      <c r="H30" t="s">
        <v>30</v>
      </c>
      <c r="I30" t="s">
        <v>43</v>
      </c>
      <c r="J30" t="s">
        <v>87</v>
      </c>
      <c r="K30" t="s">
        <v>33</v>
      </c>
      <c r="L30" t="s">
        <v>158</v>
      </c>
      <c r="M30">
        <v>6</v>
      </c>
      <c r="N30">
        <v>7</v>
      </c>
      <c r="O30">
        <v>7</v>
      </c>
      <c r="P30">
        <v>7</v>
      </c>
      <c r="Q30">
        <v>7</v>
      </c>
      <c r="R30">
        <v>4</v>
      </c>
      <c r="S30" t="s">
        <v>64</v>
      </c>
      <c r="T30" t="s">
        <v>70</v>
      </c>
      <c r="U30" t="s">
        <v>37</v>
      </c>
      <c r="V30">
        <v>43</v>
      </c>
      <c r="W30" t="s">
        <v>38</v>
      </c>
      <c r="X30" t="s">
        <v>28</v>
      </c>
      <c r="Y30" t="s">
        <v>39</v>
      </c>
    </row>
    <row r="31" spans="1:25" x14ac:dyDescent="0.45">
      <c r="A31" t="s">
        <v>159</v>
      </c>
      <c r="B31" t="s">
        <v>25</v>
      </c>
      <c r="C31" s="3" t="s">
        <v>26</v>
      </c>
      <c r="D31" s="3">
        <f t="shared" si="0"/>
        <v>44840</v>
      </c>
      <c r="E31" t="s">
        <v>149</v>
      </c>
      <c r="F31" s="4">
        <f t="shared" si="1"/>
        <v>0.36944444444444446</v>
      </c>
      <c r="G31" t="s">
        <v>157</v>
      </c>
      <c r="H31" t="s">
        <v>123</v>
      </c>
      <c r="I31" t="s">
        <v>31</v>
      </c>
      <c r="J31" t="s">
        <v>53</v>
      </c>
      <c r="K31" t="s">
        <v>160</v>
      </c>
      <c r="L31" t="s">
        <v>46</v>
      </c>
      <c r="M31">
        <v>0</v>
      </c>
      <c r="N31">
        <v>0</v>
      </c>
      <c r="O31">
        <v>5</v>
      </c>
      <c r="P31">
        <v>0</v>
      </c>
      <c r="Q31">
        <v>0</v>
      </c>
      <c r="R31">
        <v>0</v>
      </c>
      <c r="S31" t="s">
        <v>35</v>
      </c>
      <c r="T31" t="s">
        <v>36</v>
      </c>
      <c r="U31" t="s">
        <v>65</v>
      </c>
      <c r="V31">
        <v>23</v>
      </c>
      <c r="W31" t="s">
        <v>57</v>
      </c>
      <c r="X31" t="s">
        <v>28</v>
      </c>
      <c r="Y31" t="s">
        <v>161</v>
      </c>
    </row>
    <row r="32" spans="1:25" x14ac:dyDescent="0.45">
      <c r="A32" t="s">
        <v>162</v>
      </c>
      <c r="B32" t="s">
        <v>25</v>
      </c>
      <c r="C32" s="3" t="s">
        <v>26</v>
      </c>
      <c r="D32" s="3">
        <f t="shared" si="0"/>
        <v>44840</v>
      </c>
      <c r="E32" t="s">
        <v>149</v>
      </c>
      <c r="F32" s="4">
        <f t="shared" si="1"/>
        <v>0.36944444444444446</v>
      </c>
      <c r="G32" t="s">
        <v>141</v>
      </c>
      <c r="H32" t="s">
        <v>123</v>
      </c>
      <c r="I32" t="s">
        <v>31</v>
      </c>
      <c r="J32" t="s">
        <v>44</v>
      </c>
      <c r="K32" t="s">
        <v>45</v>
      </c>
      <c r="L32" t="s">
        <v>34</v>
      </c>
      <c r="M32">
        <v>10</v>
      </c>
      <c r="N32">
        <v>7</v>
      </c>
      <c r="O32">
        <v>10</v>
      </c>
      <c r="P32">
        <v>10</v>
      </c>
      <c r="Q32">
        <v>5</v>
      </c>
      <c r="R32">
        <v>3</v>
      </c>
      <c r="S32" t="s">
        <v>35</v>
      </c>
      <c r="T32" t="s">
        <v>56</v>
      </c>
      <c r="U32" t="s">
        <v>37</v>
      </c>
      <c r="V32">
        <v>31</v>
      </c>
      <c r="W32" t="s">
        <v>38</v>
      </c>
      <c r="X32" t="s">
        <v>28</v>
      </c>
      <c r="Y32" t="s">
        <v>58</v>
      </c>
    </row>
    <row r="33" spans="1:25" x14ac:dyDescent="0.45">
      <c r="A33" t="s">
        <v>163</v>
      </c>
      <c r="B33" t="s">
        <v>25</v>
      </c>
      <c r="C33" s="3" t="s">
        <v>26</v>
      </c>
      <c r="D33" s="3">
        <f t="shared" si="0"/>
        <v>44840</v>
      </c>
      <c r="E33" t="s">
        <v>164</v>
      </c>
      <c r="F33" s="4">
        <f t="shared" si="1"/>
        <v>0.37013888888888891</v>
      </c>
      <c r="G33" t="s">
        <v>165</v>
      </c>
      <c r="H33" t="s">
        <v>30</v>
      </c>
      <c r="I33" t="s">
        <v>31</v>
      </c>
      <c r="J33" t="s">
        <v>94</v>
      </c>
      <c r="K33" t="s">
        <v>45</v>
      </c>
      <c r="L33" t="s">
        <v>34</v>
      </c>
      <c r="M33">
        <v>5</v>
      </c>
      <c r="N33">
        <v>6</v>
      </c>
      <c r="O33">
        <v>7</v>
      </c>
      <c r="P33">
        <v>5</v>
      </c>
      <c r="Q33">
        <v>4</v>
      </c>
      <c r="R33">
        <v>4</v>
      </c>
      <c r="S33" t="s">
        <v>85</v>
      </c>
      <c r="T33" t="s">
        <v>166</v>
      </c>
      <c r="U33" t="s">
        <v>37</v>
      </c>
      <c r="V33">
        <v>31</v>
      </c>
      <c r="W33" t="s">
        <v>109</v>
      </c>
      <c r="X33" t="s">
        <v>28</v>
      </c>
      <c r="Y33" t="s">
        <v>39</v>
      </c>
    </row>
    <row r="34" spans="1:25" x14ac:dyDescent="0.45">
      <c r="A34" t="s">
        <v>167</v>
      </c>
      <c r="B34" t="s">
        <v>25</v>
      </c>
      <c r="C34" s="3" t="s">
        <v>26</v>
      </c>
      <c r="D34" s="3">
        <f t="shared" si="0"/>
        <v>44840</v>
      </c>
      <c r="E34" t="s">
        <v>164</v>
      </c>
      <c r="F34" s="4">
        <f t="shared" si="1"/>
        <v>0.37013888888888891</v>
      </c>
      <c r="G34" t="s">
        <v>168</v>
      </c>
      <c r="H34" t="s">
        <v>30</v>
      </c>
      <c r="I34" t="s">
        <v>31</v>
      </c>
      <c r="J34" t="s">
        <v>53</v>
      </c>
      <c r="K34" t="s">
        <v>78</v>
      </c>
      <c r="L34" t="s">
        <v>34</v>
      </c>
      <c r="M34">
        <v>8</v>
      </c>
      <c r="N34">
        <v>7</v>
      </c>
      <c r="O34">
        <v>8</v>
      </c>
      <c r="P34">
        <v>7</v>
      </c>
      <c r="Q34">
        <v>7</v>
      </c>
      <c r="R34">
        <v>7</v>
      </c>
      <c r="S34" t="s">
        <v>69</v>
      </c>
      <c r="T34" t="s">
        <v>56</v>
      </c>
      <c r="U34" t="s">
        <v>37</v>
      </c>
      <c r="V34">
        <v>25</v>
      </c>
      <c r="W34" t="s">
        <v>147</v>
      </c>
      <c r="X34" t="s">
        <v>28</v>
      </c>
      <c r="Y34" t="s">
        <v>48</v>
      </c>
    </row>
    <row r="35" spans="1:25" x14ac:dyDescent="0.45">
      <c r="A35" t="s">
        <v>169</v>
      </c>
      <c r="B35" t="s">
        <v>25</v>
      </c>
      <c r="C35" s="3" t="s">
        <v>26</v>
      </c>
      <c r="D35" s="3">
        <f t="shared" si="0"/>
        <v>44840</v>
      </c>
      <c r="E35" t="s">
        <v>170</v>
      </c>
      <c r="F35" s="4">
        <f t="shared" si="1"/>
        <v>0.37083333333333335</v>
      </c>
      <c r="G35" t="s">
        <v>171</v>
      </c>
      <c r="H35" t="s">
        <v>52</v>
      </c>
      <c r="I35" t="s">
        <v>43</v>
      </c>
      <c r="J35" t="s">
        <v>82</v>
      </c>
      <c r="K35" t="s">
        <v>103</v>
      </c>
      <c r="L35" t="s">
        <v>84</v>
      </c>
      <c r="M35">
        <v>8</v>
      </c>
      <c r="N35">
        <v>10</v>
      </c>
      <c r="O35">
        <v>10</v>
      </c>
      <c r="P35">
        <v>9</v>
      </c>
      <c r="Q35">
        <v>9</v>
      </c>
      <c r="R35">
        <v>9</v>
      </c>
      <c r="S35" t="s">
        <v>55</v>
      </c>
      <c r="T35" t="s">
        <v>70</v>
      </c>
      <c r="U35" t="s">
        <v>37</v>
      </c>
      <c r="V35">
        <v>43</v>
      </c>
      <c r="W35" t="s">
        <v>38</v>
      </c>
      <c r="X35" t="s">
        <v>28</v>
      </c>
      <c r="Y35" t="s">
        <v>39</v>
      </c>
    </row>
    <row r="36" spans="1:25" x14ac:dyDescent="0.45">
      <c r="A36" t="s">
        <v>172</v>
      </c>
      <c r="B36" t="s">
        <v>25</v>
      </c>
      <c r="C36" s="3" t="s">
        <v>26</v>
      </c>
      <c r="D36" s="3">
        <f t="shared" si="0"/>
        <v>44840</v>
      </c>
      <c r="E36" t="s">
        <v>170</v>
      </c>
      <c r="F36" s="4">
        <f t="shared" si="1"/>
        <v>0.37083333333333335</v>
      </c>
      <c r="G36" t="s">
        <v>173</v>
      </c>
      <c r="H36" t="s">
        <v>30</v>
      </c>
      <c r="I36" t="s">
        <v>43</v>
      </c>
      <c r="J36" t="s">
        <v>44</v>
      </c>
      <c r="K36" t="s">
        <v>45</v>
      </c>
      <c r="L36" t="s">
        <v>34</v>
      </c>
      <c r="M36">
        <v>2</v>
      </c>
      <c r="N36">
        <v>3</v>
      </c>
      <c r="O36">
        <v>5</v>
      </c>
      <c r="P36">
        <v>5</v>
      </c>
      <c r="Q36">
        <v>5</v>
      </c>
      <c r="R36">
        <v>5</v>
      </c>
      <c r="S36" t="s">
        <v>69</v>
      </c>
      <c r="T36" t="s">
        <v>70</v>
      </c>
      <c r="U36" t="s">
        <v>65</v>
      </c>
      <c r="V36">
        <v>26</v>
      </c>
      <c r="W36" t="s">
        <v>47</v>
      </c>
      <c r="X36" t="s">
        <v>28</v>
      </c>
      <c r="Y36" t="s">
        <v>174</v>
      </c>
    </row>
    <row r="37" spans="1:25" x14ac:dyDescent="0.45">
      <c r="A37" t="s">
        <v>175</v>
      </c>
      <c r="B37" t="s">
        <v>25</v>
      </c>
      <c r="C37" s="3" t="s">
        <v>26</v>
      </c>
      <c r="D37" s="3">
        <f t="shared" si="0"/>
        <v>44840</v>
      </c>
      <c r="E37" t="s">
        <v>170</v>
      </c>
      <c r="F37" s="4">
        <f t="shared" si="1"/>
        <v>0.37083333333333335</v>
      </c>
      <c r="G37" t="s">
        <v>176</v>
      </c>
      <c r="H37" t="s">
        <v>177</v>
      </c>
      <c r="I37" t="s">
        <v>43</v>
      </c>
      <c r="J37" t="s">
        <v>44</v>
      </c>
      <c r="K37" t="s">
        <v>178</v>
      </c>
      <c r="L37" t="s">
        <v>34</v>
      </c>
      <c r="M37">
        <v>5</v>
      </c>
      <c r="N37">
        <v>10</v>
      </c>
      <c r="O37">
        <v>8</v>
      </c>
      <c r="P37">
        <v>8</v>
      </c>
      <c r="Q37">
        <v>8</v>
      </c>
      <c r="R37">
        <v>7</v>
      </c>
      <c r="S37" t="s">
        <v>85</v>
      </c>
      <c r="T37" t="s">
        <v>36</v>
      </c>
      <c r="U37" t="s">
        <v>37</v>
      </c>
      <c r="V37">
        <v>32</v>
      </c>
      <c r="W37" t="s">
        <v>179</v>
      </c>
      <c r="X37" t="s">
        <v>28</v>
      </c>
      <c r="Y37" t="s">
        <v>39</v>
      </c>
    </row>
    <row r="38" spans="1:25" x14ac:dyDescent="0.45">
      <c r="A38" t="s">
        <v>180</v>
      </c>
      <c r="B38" t="s">
        <v>25</v>
      </c>
      <c r="C38" s="3" t="s">
        <v>26</v>
      </c>
      <c r="D38" s="3">
        <f t="shared" si="0"/>
        <v>44840</v>
      </c>
      <c r="E38" t="s">
        <v>170</v>
      </c>
      <c r="F38" s="4">
        <f t="shared" si="1"/>
        <v>0.37083333333333335</v>
      </c>
      <c r="G38" t="s">
        <v>181</v>
      </c>
      <c r="H38" t="s">
        <v>182</v>
      </c>
      <c r="I38" t="s">
        <v>43</v>
      </c>
      <c r="J38" t="s">
        <v>53</v>
      </c>
      <c r="K38" t="s">
        <v>103</v>
      </c>
      <c r="L38" t="s">
        <v>34</v>
      </c>
      <c r="M38">
        <v>2</v>
      </c>
      <c r="N38">
        <v>9</v>
      </c>
      <c r="O38">
        <v>7</v>
      </c>
      <c r="P38">
        <v>7</v>
      </c>
      <c r="Q38">
        <v>5</v>
      </c>
      <c r="R38">
        <v>6</v>
      </c>
      <c r="S38" t="s">
        <v>69</v>
      </c>
      <c r="T38" t="s">
        <v>70</v>
      </c>
      <c r="U38" t="s">
        <v>37</v>
      </c>
      <c r="V38">
        <v>31</v>
      </c>
      <c r="W38" t="s">
        <v>183</v>
      </c>
      <c r="X38" t="s">
        <v>28</v>
      </c>
      <c r="Y38" t="s">
        <v>39</v>
      </c>
    </row>
    <row r="39" spans="1:25" x14ac:dyDescent="0.45">
      <c r="A39" t="s">
        <v>184</v>
      </c>
      <c r="B39" t="s">
        <v>25</v>
      </c>
      <c r="C39" s="3" t="s">
        <v>26</v>
      </c>
      <c r="D39" s="3">
        <f t="shared" si="0"/>
        <v>44840</v>
      </c>
      <c r="E39" t="s">
        <v>185</v>
      </c>
      <c r="F39" s="4">
        <f t="shared" si="1"/>
        <v>0.37152777777777779</v>
      </c>
      <c r="G39" t="s">
        <v>186</v>
      </c>
      <c r="H39" t="s">
        <v>30</v>
      </c>
      <c r="I39" t="s">
        <v>31</v>
      </c>
      <c r="J39" t="s">
        <v>87</v>
      </c>
      <c r="K39" t="s">
        <v>33</v>
      </c>
      <c r="L39" t="s">
        <v>187</v>
      </c>
      <c r="M39">
        <v>3</v>
      </c>
      <c r="N39">
        <v>5</v>
      </c>
      <c r="O39">
        <v>6</v>
      </c>
      <c r="P39">
        <v>4</v>
      </c>
      <c r="Q39">
        <v>4</v>
      </c>
      <c r="R39">
        <v>5</v>
      </c>
      <c r="S39" t="s">
        <v>85</v>
      </c>
      <c r="T39" t="s">
        <v>70</v>
      </c>
      <c r="U39" t="s">
        <v>37</v>
      </c>
      <c r="V39">
        <v>29</v>
      </c>
      <c r="W39" t="s">
        <v>38</v>
      </c>
      <c r="X39" t="s">
        <v>28</v>
      </c>
      <c r="Y39" t="s">
        <v>39</v>
      </c>
    </row>
    <row r="40" spans="1:25" x14ac:dyDescent="0.45">
      <c r="A40" t="s">
        <v>188</v>
      </c>
      <c r="B40" t="s">
        <v>25</v>
      </c>
      <c r="C40" s="3" t="s">
        <v>26</v>
      </c>
      <c r="D40" s="3">
        <f t="shared" si="0"/>
        <v>44840</v>
      </c>
      <c r="E40" t="s">
        <v>185</v>
      </c>
      <c r="F40" s="4">
        <f t="shared" si="1"/>
        <v>0.37152777777777779</v>
      </c>
      <c r="G40" t="s">
        <v>189</v>
      </c>
      <c r="H40" t="s">
        <v>30</v>
      </c>
      <c r="I40" t="s">
        <v>31</v>
      </c>
      <c r="J40" t="s">
        <v>53</v>
      </c>
      <c r="K40" t="s">
        <v>190</v>
      </c>
      <c r="L40" t="s">
        <v>34</v>
      </c>
      <c r="M40">
        <v>3</v>
      </c>
      <c r="N40">
        <v>1</v>
      </c>
      <c r="O40">
        <v>3</v>
      </c>
      <c r="P40">
        <v>2</v>
      </c>
      <c r="Q40">
        <v>3</v>
      </c>
      <c r="R40">
        <v>1</v>
      </c>
      <c r="S40" t="s">
        <v>85</v>
      </c>
      <c r="T40" t="s">
        <v>114</v>
      </c>
      <c r="U40" t="s">
        <v>37</v>
      </c>
      <c r="V40">
        <v>24</v>
      </c>
      <c r="W40" t="s">
        <v>191</v>
      </c>
      <c r="X40" t="s">
        <v>28</v>
      </c>
      <c r="Y40" t="s">
        <v>91</v>
      </c>
    </row>
    <row r="41" spans="1:25" x14ac:dyDescent="0.45">
      <c r="A41" t="s">
        <v>192</v>
      </c>
      <c r="B41" t="s">
        <v>25</v>
      </c>
      <c r="C41" s="3" t="s">
        <v>26</v>
      </c>
      <c r="D41" s="3">
        <f t="shared" si="0"/>
        <v>44840</v>
      </c>
      <c r="E41" t="s">
        <v>185</v>
      </c>
      <c r="F41" s="4">
        <f t="shared" si="1"/>
        <v>0.37152777777777779</v>
      </c>
      <c r="G41" t="s">
        <v>193</v>
      </c>
      <c r="H41" t="s">
        <v>123</v>
      </c>
      <c r="I41" t="s">
        <v>31</v>
      </c>
      <c r="J41" t="s">
        <v>44</v>
      </c>
      <c r="K41" t="s">
        <v>113</v>
      </c>
      <c r="L41" t="s">
        <v>34</v>
      </c>
      <c r="M41">
        <v>2</v>
      </c>
      <c r="N41">
        <v>0</v>
      </c>
      <c r="O41">
        <v>2</v>
      </c>
      <c r="P41">
        <v>2</v>
      </c>
      <c r="Q41">
        <v>0</v>
      </c>
      <c r="R41">
        <v>0</v>
      </c>
      <c r="S41" t="s">
        <v>35</v>
      </c>
      <c r="T41" t="s">
        <v>36</v>
      </c>
      <c r="U41" t="s">
        <v>37</v>
      </c>
      <c r="V41">
        <v>34</v>
      </c>
      <c r="W41" t="s">
        <v>38</v>
      </c>
      <c r="X41" t="s">
        <v>28</v>
      </c>
      <c r="Y41" t="s">
        <v>39</v>
      </c>
    </row>
    <row r="42" spans="1:25" x14ac:dyDescent="0.45">
      <c r="A42" t="s">
        <v>194</v>
      </c>
      <c r="B42" t="s">
        <v>25</v>
      </c>
      <c r="C42" s="3" t="s">
        <v>26</v>
      </c>
      <c r="D42" s="3">
        <f t="shared" si="0"/>
        <v>44840</v>
      </c>
      <c r="E42" t="s">
        <v>195</v>
      </c>
      <c r="F42" s="4">
        <f t="shared" si="1"/>
        <v>0.37291666666666667</v>
      </c>
      <c r="G42" t="s">
        <v>196</v>
      </c>
      <c r="H42" t="s">
        <v>30</v>
      </c>
      <c r="I42" t="s">
        <v>31</v>
      </c>
      <c r="J42" t="s">
        <v>44</v>
      </c>
      <c r="K42" t="s">
        <v>197</v>
      </c>
      <c r="L42" t="s">
        <v>198</v>
      </c>
      <c r="M42">
        <v>5</v>
      </c>
      <c r="N42">
        <v>6</v>
      </c>
      <c r="O42">
        <v>6</v>
      </c>
      <c r="P42">
        <v>5</v>
      </c>
      <c r="Q42">
        <v>4</v>
      </c>
      <c r="R42">
        <v>6</v>
      </c>
      <c r="S42" t="s">
        <v>35</v>
      </c>
      <c r="T42" t="s">
        <v>70</v>
      </c>
      <c r="U42" t="s">
        <v>37</v>
      </c>
      <c r="V42">
        <v>42</v>
      </c>
      <c r="W42" t="s">
        <v>199</v>
      </c>
      <c r="X42" t="s">
        <v>28</v>
      </c>
      <c r="Y42" t="s">
        <v>200</v>
      </c>
    </row>
    <row r="43" spans="1:25" x14ac:dyDescent="0.45">
      <c r="A43" t="s">
        <v>201</v>
      </c>
      <c r="B43" t="s">
        <v>25</v>
      </c>
      <c r="C43" s="3" t="s">
        <v>26</v>
      </c>
      <c r="D43" s="3">
        <f t="shared" si="0"/>
        <v>44840</v>
      </c>
      <c r="E43" t="s">
        <v>195</v>
      </c>
      <c r="F43" s="4">
        <f t="shared" si="1"/>
        <v>0.37291666666666667</v>
      </c>
      <c r="G43" t="s">
        <v>202</v>
      </c>
      <c r="H43" t="s">
        <v>123</v>
      </c>
      <c r="I43" t="s">
        <v>31</v>
      </c>
      <c r="J43" t="s">
        <v>53</v>
      </c>
      <c r="K43" t="s">
        <v>203</v>
      </c>
      <c r="L43" t="s">
        <v>204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69</v>
      </c>
      <c r="T43" t="s">
        <v>36</v>
      </c>
      <c r="U43" t="s">
        <v>65</v>
      </c>
      <c r="V43">
        <v>40</v>
      </c>
      <c r="W43" t="s">
        <v>38</v>
      </c>
      <c r="X43" t="s">
        <v>28</v>
      </c>
      <c r="Y43" t="s">
        <v>48</v>
      </c>
    </row>
    <row r="44" spans="1:25" x14ac:dyDescent="0.45">
      <c r="A44" t="s">
        <v>205</v>
      </c>
      <c r="B44" t="s">
        <v>25</v>
      </c>
      <c r="C44" s="3" t="s">
        <v>26</v>
      </c>
      <c r="D44" s="3">
        <f t="shared" si="0"/>
        <v>44840</v>
      </c>
      <c r="E44" t="s">
        <v>195</v>
      </c>
      <c r="F44" s="4">
        <f t="shared" si="1"/>
        <v>0.37291666666666667</v>
      </c>
      <c r="G44" t="s">
        <v>206</v>
      </c>
      <c r="H44" t="s">
        <v>123</v>
      </c>
      <c r="I44" t="s">
        <v>43</v>
      </c>
      <c r="J44" t="s">
        <v>44</v>
      </c>
      <c r="K44" t="s">
        <v>90</v>
      </c>
      <c r="L44" t="s">
        <v>34</v>
      </c>
      <c r="M44">
        <v>3</v>
      </c>
      <c r="N44">
        <v>1</v>
      </c>
      <c r="O44">
        <v>3</v>
      </c>
      <c r="P44">
        <v>4</v>
      </c>
      <c r="Q44">
        <v>0</v>
      </c>
      <c r="R44">
        <v>3</v>
      </c>
      <c r="S44" t="s">
        <v>55</v>
      </c>
      <c r="T44" t="s">
        <v>56</v>
      </c>
      <c r="U44" t="s">
        <v>37</v>
      </c>
      <c r="V44">
        <v>43</v>
      </c>
      <c r="W44" t="s">
        <v>207</v>
      </c>
      <c r="X44" t="s">
        <v>28</v>
      </c>
      <c r="Y44" t="s">
        <v>39</v>
      </c>
    </row>
    <row r="45" spans="1:25" x14ac:dyDescent="0.45">
      <c r="A45" t="s">
        <v>208</v>
      </c>
      <c r="B45" t="s">
        <v>25</v>
      </c>
      <c r="C45" s="3" t="s">
        <v>26</v>
      </c>
      <c r="D45" s="3">
        <f t="shared" si="0"/>
        <v>44840</v>
      </c>
      <c r="E45" t="s">
        <v>209</v>
      </c>
      <c r="F45" s="4">
        <f t="shared" si="1"/>
        <v>0.37361111111111112</v>
      </c>
      <c r="G45" t="s">
        <v>210</v>
      </c>
      <c r="H45" t="s">
        <v>123</v>
      </c>
      <c r="I45" t="s">
        <v>31</v>
      </c>
      <c r="J45" t="s">
        <v>53</v>
      </c>
      <c r="K45" t="s">
        <v>113</v>
      </c>
      <c r="L45" t="s">
        <v>34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35</v>
      </c>
      <c r="T45" t="s">
        <v>70</v>
      </c>
      <c r="U45" t="s">
        <v>37</v>
      </c>
      <c r="V45">
        <v>23</v>
      </c>
      <c r="W45" t="s">
        <v>211</v>
      </c>
      <c r="X45" t="s">
        <v>28</v>
      </c>
      <c r="Y45" t="s">
        <v>212</v>
      </c>
    </row>
    <row r="46" spans="1:25" x14ac:dyDescent="0.45">
      <c r="A46" t="s">
        <v>213</v>
      </c>
      <c r="B46" t="s">
        <v>25</v>
      </c>
      <c r="C46" s="3" t="s">
        <v>26</v>
      </c>
      <c r="D46" s="3">
        <f t="shared" si="0"/>
        <v>44840</v>
      </c>
      <c r="E46" t="s">
        <v>214</v>
      </c>
      <c r="F46" s="4">
        <f t="shared" si="1"/>
        <v>0.37430555555555556</v>
      </c>
      <c r="G46" t="s">
        <v>215</v>
      </c>
      <c r="H46" t="s">
        <v>123</v>
      </c>
      <c r="I46" t="s">
        <v>31</v>
      </c>
      <c r="J46" t="s">
        <v>53</v>
      </c>
      <c r="K46" t="s">
        <v>108</v>
      </c>
      <c r="L46" t="s">
        <v>34</v>
      </c>
      <c r="M46">
        <v>5</v>
      </c>
      <c r="N46">
        <v>5</v>
      </c>
      <c r="O46">
        <v>3</v>
      </c>
      <c r="P46">
        <v>5</v>
      </c>
      <c r="Q46">
        <v>2</v>
      </c>
      <c r="R46">
        <v>6</v>
      </c>
      <c r="S46" t="s">
        <v>69</v>
      </c>
      <c r="T46" t="s">
        <v>70</v>
      </c>
      <c r="U46" t="s">
        <v>37</v>
      </c>
      <c r="V46">
        <v>23</v>
      </c>
      <c r="W46" t="s">
        <v>179</v>
      </c>
      <c r="X46" t="s">
        <v>28</v>
      </c>
      <c r="Y46" t="s">
        <v>48</v>
      </c>
    </row>
    <row r="47" spans="1:25" x14ac:dyDescent="0.45">
      <c r="A47" t="s">
        <v>216</v>
      </c>
      <c r="B47" t="s">
        <v>25</v>
      </c>
      <c r="C47" s="3" t="s">
        <v>26</v>
      </c>
      <c r="D47" s="3">
        <f t="shared" si="0"/>
        <v>44840</v>
      </c>
      <c r="E47" t="s">
        <v>214</v>
      </c>
      <c r="F47" s="4">
        <f t="shared" si="1"/>
        <v>0.37430555555555556</v>
      </c>
      <c r="G47" t="s">
        <v>217</v>
      </c>
      <c r="H47" t="s">
        <v>30</v>
      </c>
      <c r="I47" t="s">
        <v>31</v>
      </c>
      <c r="J47" t="s">
        <v>87</v>
      </c>
      <c r="K47" t="s">
        <v>218</v>
      </c>
      <c r="L47" t="s">
        <v>34</v>
      </c>
      <c r="M47">
        <v>8</v>
      </c>
      <c r="N47">
        <v>6</v>
      </c>
      <c r="O47">
        <v>2</v>
      </c>
      <c r="P47">
        <v>3</v>
      </c>
      <c r="Q47">
        <v>6</v>
      </c>
      <c r="R47">
        <v>7</v>
      </c>
      <c r="S47" t="s">
        <v>85</v>
      </c>
      <c r="T47" t="s">
        <v>219</v>
      </c>
      <c r="U47" t="s">
        <v>37</v>
      </c>
      <c r="V47">
        <v>28</v>
      </c>
      <c r="W47" t="s">
        <v>38</v>
      </c>
      <c r="X47" t="s">
        <v>28</v>
      </c>
      <c r="Y47" t="s">
        <v>39</v>
      </c>
    </row>
    <row r="48" spans="1:25" x14ac:dyDescent="0.45">
      <c r="A48" t="s">
        <v>220</v>
      </c>
      <c r="B48" t="s">
        <v>25</v>
      </c>
      <c r="C48" s="3" t="s">
        <v>26</v>
      </c>
      <c r="D48" s="3">
        <f t="shared" si="0"/>
        <v>44840</v>
      </c>
      <c r="E48" t="s">
        <v>221</v>
      </c>
      <c r="F48" s="4">
        <f t="shared" si="1"/>
        <v>0.375</v>
      </c>
      <c r="G48" t="s">
        <v>81</v>
      </c>
      <c r="H48" t="s">
        <v>30</v>
      </c>
      <c r="I48" t="s">
        <v>43</v>
      </c>
      <c r="J48" t="s">
        <v>94</v>
      </c>
      <c r="K48" t="s">
        <v>45</v>
      </c>
      <c r="L48" t="s">
        <v>84</v>
      </c>
      <c r="M48">
        <v>5</v>
      </c>
      <c r="N48">
        <v>7</v>
      </c>
      <c r="O48">
        <v>1</v>
      </c>
      <c r="P48">
        <v>1</v>
      </c>
      <c r="Q48">
        <v>0</v>
      </c>
      <c r="R48">
        <v>8</v>
      </c>
      <c r="S48" t="s">
        <v>85</v>
      </c>
      <c r="T48" t="s">
        <v>70</v>
      </c>
      <c r="U48" t="s">
        <v>37</v>
      </c>
      <c r="V48">
        <v>32</v>
      </c>
      <c r="W48" t="s">
        <v>38</v>
      </c>
      <c r="X48" t="s">
        <v>28</v>
      </c>
      <c r="Y48" t="s">
        <v>39</v>
      </c>
    </row>
    <row r="49" spans="1:25" x14ac:dyDescent="0.45">
      <c r="A49" t="s">
        <v>222</v>
      </c>
      <c r="B49" t="s">
        <v>25</v>
      </c>
      <c r="C49" s="3" t="s">
        <v>26</v>
      </c>
      <c r="D49" s="3">
        <f t="shared" si="0"/>
        <v>44840</v>
      </c>
      <c r="E49" t="s">
        <v>223</v>
      </c>
      <c r="F49" s="4">
        <f t="shared" si="1"/>
        <v>0.37638888888888888</v>
      </c>
      <c r="G49" t="s">
        <v>224</v>
      </c>
      <c r="H49" t="s">
        <v>30</v>
      </c>
      <c r="I49" t="s">
        <v>31</v>
      </c>
      <c r="J49" t="s">
        <v>94</v>
      </c>
      <c r="K49" t="s">
        <v>225</v>
      </c>
      <c r="L49" t="s">
        <v>46</v>
      </c>
      <c r="M49">
        <v>7</v>
      </c>
      <c r="N49">
        <v>8</v>
      </c>
      <c r="O49">
        <v>10</v>
      </c>
      <c r="P49">
        <v>8</v>
      </c>
      <c r="Q49">
        <v>9</v>
      </c>
      <c r="R49">
        <v>9</v>
      </c>
      <c r="S49" t="s">
        <v>69</v>
      </c>
      <c r="T49" t="s">
        <v>36</v>
      </c>
      <c r="U49" t="s">
        <v>65</v>
      </c>
      <c r="V49">
        <v>41</v>
      </c>
      <c r="W49" t="s">
        <v>38</v>
      </c>
      <c r="X49" t="s">
        <v>28</v>
      </c>
      <c r="Y49" t="s">
        <v>39</v>
      </c>
    </row>
    <row r="50" spans="1:25" x14ac:dyDescent="0.45">
      <c r="A50" t="s">
        <v>226</v>
      </c>
      <c r="B50" t="s">
        <v>25</v>
      </c>
      <c r="C50" s="3" t="s">
        <v>26</v>
      </c>
      <c r="D50" s="3">
        <f t="shared" si="0"/>
        <v>44840</v>
      </c>
      <c r="E50" t="s">
        <v>223</v>
      </c>
      <c r="F50" s="4">
        <f t="shared" si="1"/>
        <v>0.37638888888888888</v>
      </c>
      <c r="G50" t="s">
        <v>189</v>
      </c>
      <c r="H50" t="s">
        <v>30</v>
      </c>
      <c r="I50" t="s">
        <v>31</v>
      </c>
      <c r="J50" t="s">
        <v>44</v>
      </c>
      <c r="K50" t="s">
        <v>45</v>
      </c>
      <c r="L50" t="s">
        <v>34</v>
      </c>
      <c r="M50">
        <v>5</v>
      </c>
      <c r="N50">
        <v>6</v>
      </c>
      <c r="O50">
        <v>6</v>
      </c>
      <c r="P50">
        <v>6</v>
      </c>
      <c r="Q50">
        <v>6</v>
      </c>
      <c r="R50">
        <v>6</v>
      </c>
      <c r="S50" t="s">
        <v>85</v>
      </c>
      <c r="T50" t="s">
        <v>36</v>
      </c>
      <c r="U50" t="s">
        <v>37</v>
      </c>
      <c r="V50">
        <v>33</v>
      </c>
      <c r="W50" t="s">
        <v>109</v>
      </c>
      <c r="X50" t="s">
        <v>227</v>
      </c>
      <c r="Y50" t="s">
        <v>39</v>
      </c>
    </row>
    <row r="51" spans="1:25" x14ac:dyDescent="0.45">
      <c r="A51" t="s">
        <v>228</v>
      </c>
      <c r="B51" t="s">
        <v>25</v>
      </c>
      <c r="C51" s="3" t="s">
        <v>26</v>
      </c>
      <c r="D51" s="3">
        <f t="shared" si="0"/>
        <v>44840</v>
      </c>
      <c r="E51" t="s">
        <v>223</v>
      </c>
      <c r="F51" s="4">
        <f t="shared" si="1"/>
        <v>0.37638888888888888</v>
      </c>
      <c r="G51" t="s">
        <v>229</v>
      </c>
      <c r="H51" t="s">
        <v>230</v>
      </c>
      <c r="I51" t="s">
        <v>31</v>
      </c>
      <c r="J51" t="s">
        <v>63</v>
      </c>
      <c r="K51" t="s">
        <v>103</v>
      </c>
      <c r="L51" t="s">
        <v>34</v>
      </c>
      <c r="M51">
        <v>10</v>
      </c>
      <c r="N51">
        <v>8</v>
      </c>
      <c r="O51">
        <v>9</v>
      </c>
      <c r="P51">
        <v>8</v>
      </c>
      <c r="Q51">
        <v>8</v>
      </c>
      <c r="R51">
        <v>10</v>
      </c>
      <c r="S51" t="s">
        <v>55</v>
      </c>
      <c r="T51" t="s">
        <v>56</v>
      </c>
      <c r="U51" t="s">
        <v>37</v>
      </c>
      <c r="V51">
        <v>38</v>
      </c>
      <c r="W51" t="s">
        <v>38</v>
      </c>
      <c r="X51" t="s">
        <v>28</v>
      </c>
      <c r="Y51" t="s">
        <v>91</v>
      </c>
    </row>
    <row r="52" spans="1:25" x14ac:dyDescent="0.45">
      <c r="A52" t="s">
        <v>231</v>
      </c>
      <c r="B52" t="s">
        <v>25</v>
      </c>
      <c r="C52" s="3" t="s">
        <v>26</v>
      </c>
      <c r="D52" s="3">
        <f t="shared" si="0"/>
        <v>44840</v>
      </c>
      <c r="E52" t="s">
        <v>223</v>
      </c>
      <c r="F52" s="4">
        <f t="shared" si="1"/>
        <v>0.37638888888888888</v>
      </c>
      <c r="G52" t="s">
        <v>206</v>
      </c>
      <c r="H52" t="s">
        <v>30</v>
      </c>
      <c r="I52" t="s">
        <v>43</v>
      </c>
      <c r="J52" t="s">
        <v>53</v>
      </c>
      <c r="K52" t="s">
        <v>103</v>
      </c>
      <c r="L52" t="s">
        <v>187</v>
      </c>
      <c r="M52">
        <v>8</v>
      </c>
      <c r="N52">
        <v>8</v>
      </c>
      <c r="O52">
        <v>8</v>
      </c>
      <c r="P52">
        <v>8</v>
      </c>
      <c r="Q52">
        <v>5</v>
      </c>
      <c r="R52">
        <v>10</v>
      </c>
      <c r="S52" t="s">
        <v>55</v>
      </c>
      <c r="T52" t="s">
        <v>70</v>
      </c>
      <c r="U52" t="s">
        <v>65</v>
      </c>
      <c r="V52">
        <v>22</v>
      </c>
      <c r="W52" t="s">
        <v>147</v>
      </c>
      <c r="X52" t="s">
        <v>28</v>
      </c>
      <c r="Y52" t="s">
        <v>200</v>
      </c>
    </row>
    <row r="53" spans="1:25" x14ac:dyDescent="0.45">
      <c r="A53" t="s">
        <v>232</v>
      </c>
      <c r="B53" t="s">
        <v>25</v>
      </c>
      <c r="C53" s="3" t="s">
        <v>26</v>
      </c>
      <c r="D53" s="3">
        <f t="shared" si="0"/>
        <v>44840</v>
      </c>
      <c r="E53" t="s">
        <v>233</v>
      </c>
      <c r="F53" s="4">
        <f t="shared" si="1"/>
        <v>0.37708333333333333</v>
      </c>
      <c r="G53" t="s">
        <v>234</v>
      </c>
      <c r="H53" t="s">
        <v>123</v>
      </c>
      <c r="I53" t="s">
        <v>31</v>
      </c>
      <c r="J53" t="s">
        <v>53</v>
      </c>
      <c r="K53" t="s">
        <v>235</v>
      </c>
      <c r="L53" t="s">
        <v>46</v>
      </c>
      <c r="M53">
        <v>1</v>
      </c>
      <c r="N53">
        <v>3</v>
      </c>
      <c r="O53">
        <v>6</v>
      </c>
      <c r="P53">
        <v>6</v>
      </c>
      <c r="Q53">
        <v>6</v>
      </c>
      <c r="R53">
        <v>9</v>
      </c>
      <c r="S53" t="s">
        <v>69</v>
      </c>
      <c r="T53" t="s">
        <v>36</v>
      </c>
      <c r="U53" t="s">
        <v>37</v>
      </c>
      <c r="V53">
        <v>36</v>
      </c>
      <c r="W53" t="s">
        <v>236</v>
      </c>
      <c r="X53" t="s">
        <v>237</v>
      </c>
      <c r="Y53" t="s">
        <v>58</v>
      </c>
    </row>
    <row r="54" spans="1:25" x14ac:dyDescent="0.45">
      <c r="A54" t="s">
        <v>238</v>
      </c>
      <c r="B54" t="s">
        <v>25</v>
      </c>
      <c r="C54" s="3" t="s">
        <v>26</v>
      </c>
      <c r="D54" s="3">
        <f t="shared" si="0"/>
        <v>44840</v>
      </c>
      <c r="E54" t="s">
        <v>233</v>
      </c>
      <c r="F54" s="4">
        <f t="shared" si="1"/>
        <v>0.37708333333333333</v>
      </c>
      <c r="G54" t="s">
        <v>239</v>
      </c>
      <c r="H54" t="s">
        <v>52</v>
      </c>
      <c r="I54" t="s">
        <v>43</v>
      </c>
      <c r="J54" t="s">
        <v>94</v>
      </c>
      <c r="K54" t="s">
        <v>45</v>
      </c>
      <c r="L54" t="s">
        <v>34</v>
      </c>
      <c r="M54">
        <v>2</v>
      </c>
      <c r="N54">
        <v>1</v>
      </c>
      <c r="O54">
        <v>1</v>
      </c>
      <c r="P54">
        <v>1</v>
      </c>
      <c r="Q54">
        <v>3</v>
      </c>
      <c r="R54">
        <v>7</v>
      </c>
      <c r="S54" t="s">
        <v>55</v>
      </c>
      <c r="T54" t="s">
        <v>36</v>
      </c>
      <c r="U54" t="s">
        <v>65</v>
      </c>
      <c r="V54">
        <v>28</v>
      </c>
      <c r="W54" t="s">
        <v>38</v>
      </c>
      <c r="X54" t="s">
        <v>240</v>
      </c>
      <c r="Y54" t="s">
        <v>48</v>
      </c>
    </row>
    <row r="55" spans="1:25" x14ac:dyDescent="0.45">
      <c r="A55" t="s">
        <v>241</v>
      </c>
      <c r="B55" t="s">
        <v>25</v>
      </c>
      <c r="C55" s="3" t="s">
        <v>26</v>
      </c>
      <c r="D55" s="3">
        <f t="shared" si="0"/>
        <v>44840</v>
      </c>
      <c r="E55" t="s">
        <v>242</v>
      </c>
      <c r="F55" s="4">
        <f t="shared" si="1"/>
        <v>0.37847222222222221</v>
      </c>
      <c r="G55" t="s">
        <v>243</v>
      </c>
      <c r="H55" t="s">
        <v>123</v>
      </c>
      <c r="I55" t="s">
        <v>31</v>
      </c>
      <c r="J55" t="s">
        <v>53</v>
      </c>
      <c r="K55" t="s">
        <v>244</v>
      </c>
      <c r="L55" t="s">
        <v>245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>
        <v>7</v>
      </c>
      <c r="S55" t="s">
        <v>64</v>
      </c>
      <c r="T55" t="s">
        <v>246</v>
      </c>
      <c r="U55" t="s">
        <v>37</v>
      </c>
      <c r="V55">
        <v>30</v>
      </c>
      <c r="W55" t="s">
        <v>247</v>
      </c>
      <c r="X55" t="s">
        <v>28</v>
      </c>
      <c r="Y55" t="s">
        <v>248</v>
      </c>
    </row>
    <row r="56" spans="1:25" x14ac:dyDescent="0.45">
      <c r="A56" t="s">
        <v>249</v>
      </c>
      <c r="B56" t="s">
        <v>25</v>
      </c>
      <c r="C56" s="3" t="s">
        <v>26</v>
      </c>
      <c r="D56" s="3">
        <f t="shared" si="0"/>
        <v>44840</v>
      </c>
      <c r="E56" t="s">
        <v>242</v>
      </c>
      <c r="F56" s="4">
        <f t="shared" si="1"/>
        <v>0.37847222222222221</v>
      </c>
      <c r="G56" t="s">
        <v>250</v>
      </c>
      <c r="H56" t="s">
        <v>30</v>
      </c>
      <c r="I56" t="s">
        <v>31</v>
      </c>
      <c r="J56" t="s">
        <v>94</v>
      </c>
      <c r="K56" t="s">
        <v>103</v>
      </c>
      <c r="L56" t="s">
        <v>34</v>
      </c>
      <c r="M56">
        <v>6</v>
      </c>
      <c r="N56">
        <v>6</v>
      </c>
      <c r="O56">
        <v>6</v>
      </c>
      <c r="P56">
        <v>6</v>
      </c>
      <c r="Q56">
        <v>5</v>
      </c>
      <c r="R56">
        <v>6</v>
      </c>
      <c r="S56" t="s">
        <v>69</v>
      </c>
      <c r="T56" t="s">
        <v>251</v>
      </c>
      <c r="U56" t="s">
        <v>65</v>
      </c>
      <c r="V56">
        <v>24</v>
      </c>
      <c r="W56" t="s">
        <v>38</v>
      </c>
      <c r="X56" t="s">
        <v>237</v>
      </c>
      <c r="Y56" t="s">
        <v>91</v>
      </c>
    </row>
    <row r="57" spans="1:25" x14ac:dyDescent="0.45">
      <c r="A57" t="s">
        <v>252</v>
      </c>
      <c r="B57" t="s">
        <v>25</v>
      </c>
      <c r="C57" s="3" t="s">
        <v>26</v>
      </c>
      <c r="D57" s="3">
        <f t="shared" si="0"/>
        <v>44840</v>
      </c>
      <c r="E57" t="s">
        <v>253</v>
      </c>
      <c r="F57" s="4">
        <f t="shared" si="1"/>
        <v>0.37916666666666665</v>
      </c>
      <c r="G57" t="s">
        <v>254</v>
      </c>
      <c r="H57" t="s">
        <v>255</v>
      </c>
      <c r="I57" t="s">
        <v>43</v>
      </c>
      <c r="J57" t="s">
        <v>44</v>
      </c>
      <c r="K57" t="s">
        <v>256</v>
      </c>
      <c r="L57" t="s">
        <v>257</v>
      </c>
      <c r="M57">
        <v>3</v>
      </c>
      <c r="N57">
        <v>6</v>
      </c>
      <c r="O57">
        <v>7</v>
      </c>
      <c r="P57">
        <v>7</v>
      </c>
      <c r="Q57">
        <v>0</v>
      </c>
      <c r="R57">
        <v>3</v>
      </c>
      <c r="S57" t="s">
        <v>35</v>
      </c>
      <c r="T57" t="s">
        <v>70</v>
      </c>
      <c r="U57" t="s">
        <v>37</v>
      </c>
      <c r="V57">
        <v>29</v>
      </c>
      <c r="W57" t="s">
        <v>38</v>
      </c>
      <c r="X57" t="s">
        <v>237</v>
      </c>
      <c r="Y57" t="s">
        <v>39</v>
      </c>
    </row>
    <row r="58" spans="1:25" x14ac:dyDescent="0.45">
      <c r="A58" t="s">
        <v>258</v>
      </c>
      <c r="B58" t="s">
        <v>25</v>
      </c>
      <c r="C58" s="3" t="s">
        <v>26</v>
      </c>
      <c r="D58" s="3">
        <f t="shared" si="0"/>
        <v>44840</v>
      </c>
      <c r="E58" t="s">
        <v>259</v>
      </c>
      <c r="F58" s="4">
        <f t="shared" si="1"/>
        <v>0.37986111111111109</v>
      </c>
      <c r="G58" t="s">
        <v>260</v>
      </c>
      <c r="H58" t="s">
        <v>30</v>
      </c>
      <c r="I58" t="s">
        <v>43</v>
      </c>
      <c r="J58" t="s">
        <v>53</v>
      </c>
      <c r="K58" t="s">
        <v>103</v>
      </c>
      <c r="L58" t="s">
        <v>34</v>
      </c>
      <c r="M58">
        <v>4</v>
      </c>
      <c r="N58">
        <v>9</v>
      </c>
      <c r="O58">
        <v>10</v>
      </c>
      <c r="P58">
        <v>9</v>
      </c>
      <c r="Q58">
        <v>9</v>
      </c>
      <c r="R58">
        <v>10</v>
      </c>
      <c r="S58" t="s">
        <v>55</v>
      </c>
      <c r="T58" t="s">
        <v>70</v>
      </c>
      <c r="U58" t="s">
        <v>37</v>
      </c>
      <c r="V58">
        <v>29</v>
      </c>
      <c r="W58" t="s">
        <v>261</v>
      </c>
      <c r="X58" t="s">
        <v>262</v>
      </c>
      <c r="Y58" t="s">
        <v>91</v>
      </c>
    </row>
    <row r="59" spans="1:25" x14ac:dyDescent="0.45">
      <c r="A59" t="s">
        <v>263</v>
      </c>
      <c r="B59" t="s">
        <v>25</v>
      </c>
      <c r="C59" s="3" t="s">
        <v>26</v>
      </c>
      <c r="D59" s="3">
        <f t="shared" si="0"/>
        <v>44840</v>
      </c>
      <c r="E59" t="s">
        <v>264</v>
      </c>
      <c r="F59" s="4">
        <f t="shared" si="1"/>
        <v>0.38055555555555554</v>
      </c>
      <c r="G59" t="s">
        <v>265</v>
      </c>
      <c r="H59" t="s">
        <v>266</v>
      </c>
      <c r="I59" t="s">
        <v>31</v>
      </c>
      <c r="J59" t="s">
        <v>44</v>
      </c>
      <c r="K59" t="s">
        <v>178</v>
      </c>
      <c r="L59" t="s">
        <v>34</v>
      </c>
      <c r="M59">
        <v>6</v>
      </c>
      <c r="N59">
        <v>8</v>
      </c>
      <c r="O59">
        <v>8</v>
      </c>
      <c r="P59">
        <v>7</v>
      </c>
      <c r="Q59">
        <v>9</v>
      </c>
      <c r="R59">
        <v>7</v>
      </c>
      <c r="S59" t="s">
        <v>85</v>
      </c>
      <c r="T59" t="s">
        <v>56</v>
      </c>
      <c r="U59" t="s">
        <v>37</v>
      </c>
      <c r="V59">
        <v>38</v>
      </c>
      <c r="W59" t="s">
        <v>267</v>
      </c>
      <c r="X59" t="s">
        <v>240</v>
      </c>
      <c r="Y59" t="s">
        <v>39</v>
      </c>
    </row>
    <row r="60" spans="1:25" x14ac:dyDescent="0.45">
      <c r="A60" t="s">
        <v>268</v>
      </c>
      <c r="B60" t="s">
        <v>25</v>
      </c>
      <c r="C60" s="3" t="s">
        <v>26</v>
      </c>
      <c r="D60" s="3">
        <f t="shared" si="0"/>
        <v>44840</v>
      </c>
      <c r="E60" t="s">
        <v>264</v>
      </c>
      <c r="F60" s="4">
        <f t="shared" si="1"/>
        <v>0.38055555555555554</v>
      </c>
      <c r="G60" t="s">
        <v>269</v>
      </c>
      <c r="H60" t="s">
        <v>30</v>
      </c>
      <c r="I60" t="s">
        <v>31</v>
      </c>
      <c r="J60" t="s">
        <v>53</v>
      </c>
      <c r="K60" t="s">
        <v>45</v>
      </c>
      <c r="L60" t="s">
        <v>270</v>
      </c>
      <c r="M60">
        <v>3</v>
      </c>
      <c r="N60">
        <v>5</v>
      </c>
      <c r="O60">
        <v>4</v>
      </c>
      <c r="P60">
        <v>3</v>
      </c>
      <c r="Q60">
        <v>3</v>
      </c>
      <c r="R60">
        <v>3</v>
      </c>
      <c r="S60" t="s">
        <v>69</v>
      </c>
      <c r="T60" t="s">
        <v>56</v>
      </c>
      <c r="U60" t="s">
        <v>37</v>
      </c>
      <c r="V60">
        <v>31</v>
      </c>
      <c r="W60" t="s">
        <v>271</v>
      </c>
      <c r="X60" t="s">
        <v>240</v>
      </c>
      <c r="Y60" t="s">
        <v>39</v>
      </c>
    </row>
    <row r="61" spans="1:25" x14ac:dyDescent="0.45">
      <c r="A61" t="s">
        <v>272</v>
      </c>
      <c r="B61" t="s">
        <v>25</v>
      </c>
      <c r="C61" s="3" t="s">
        <v>26</v>
      </c>
      <c r="D61" s="3">
        <f t="shared" si="0"/>
        <v>44840</v>
      </c>
      <c r="E61" t="s">
        <v>273</v>
      </c>
      <c r="F61" s="4">
        <f t="shared" si="1"/>
        <v>0.38124999999999998</v>
      </c>
      <c r="G61" t="s">
        <v>186</v>
      </c>
      <c r="H61" t="s">
        <v>123</v>
      </c>
      <c r="I61" t="s">
        <v>43</v>
      </c>
      <c r="J61" t="s">
        <v>53</v>
      </c>
      <c r="K61" t="s">
        <v>103</v>
      </c>
      <c r="L61" t="s">
        <v>34</v>
      </c>
      <c r="M61">
        <v>1</v>
      </c>
      <c r="N61">
        <v>4</v>
      </c>
      <c r="O61">
        <v>5</v>
      </c>
      <c r="P61">
        <v>5</v>
      </c>
      <c r="Q61">
        <v>1</v>
      </c>
      <c r="R61">
        <v>1</v>
      </c>
      <c r="S61" t="s">
        <v>69</v>
      </c>
      <c r="T61" t="s">
        <v>70</v>
      </c>
      <c r="U61" t="s">
        <v>37</v>
      </c>
      <c r="V61">
        <v>25</v>
      </c>
      <c r="W61" t="s">
        <v>38</v>
      </c>
      <c r="X61" t="s">
        <v>240</v>
      </c>
      <c r="Y61" t="s">
        <v>39</v>
      </c>
    </row>
    <row r="62" spans="1:25" x14ac:dyDescent="0.45">
      <c r="A62" t="s">
        <v>274</v>
      </c>
      <c r="B62" t="s">
        <v>25</v>
      </c>
      <c r="C62" s="3" t="s">
        <v>26</v>
      </c>
      <c r="D62" s="3">
        <f t="shared" si="0"/>
        <v>44840</v>
      </c>
      <c r="E62" t="s">
        <v>273</v>
      </c>
      <c r="F62" s="4">
        <f t="shared" si="1"/>
        <v>0.38124999999999998</v>
      </c>
      <c r="G62" t="s">
        <v>275</v>
      </c>
      <c r="H62" t="s">
        <v>30</v>
      </c>
      <c r="I62" t="s">
        <v>43</v>
      </c>
      <c r="J62" t="s">
        <v>94</v>
      </c>
      <c r="K62" t="s">
        <v>90</v>
      </c>
      <c r="L62" t="s">
        <v>34</v>
      </c>
      <c r="M62">
        <v>4</v>
      </c>
      <c r="N62">
        <v>6</v>
      </c>
      <c r="O62">
        <v>4</v>
      </c>
      <c r="P62">
        <v>5</v>
      </c>
      <c r="Q62">
        <v>4</v>
      </c>
      <c r="R62">
        <v>4</v>
      </c>
      <c r="S62" t="s">
        <v>85</v>
      </c>
      <c r="T62" t="s">
        <v>70</v>
      </c>
      <c r="U62" t="s">
        <v>37</v>
      </c>
      <c r="V62">
        <v>24</v>
      </c>
      <c r="W62" t="s">
        <v>38</v>
      </c>
      <c r="X62" t="s">
        <v>240</v>
      </c>
      <c r="Y62" t="s">
        <v>39</v>
      </c>
    </row>
    <row r="63" spans="1:25" x14ac:dyDescent="0.45">
      <c r="A63" t="s">
        <v>276</v>
      </c>
      <c r="B63" t="s">
        <v>25</v>
      </c>
      <c r="C63" s="3" t="s">
        <v>26</v>
      </c>
      <c r="D63" s="3">
        <f t="shared" si="0"/>
        <v>44840</v>
      </c>
      <c r="E63" t="s">
        <v>277</v>
      </c>
      <c r="F63" s="4">
        <f t="shared" si="1"/>
        <v>0.38333333333333336</v>
      </c>
      <c r="G63" t="s">
        <v>278</v>
      </c>
      <c r="H63" t="s">
        <v>279</v>
      </c>
      <c r="I63" t="s">
        <v>31</v>
      </c>
      <c r="J63" t="s">
        <v>44</v>
      </c>
      <c r="K63" t="s">
        <v>103</v>
      </c>
      <c r="L63" t="s">
        <v>34</v>
      </c>
      <c r="M63">
        <v>6</v>
      </c>
      <c r="N63">
        <v>7</v>
      </c>
      <c r="O63">
        <v>4</v>
      </c>
      <c r="P63">
        <v>3</v>
      </c>
      <c r="Q63">
        <v>9</v>
      </c>
      <c r="R63">
        <v>8</v>
      </c>
      <c r="S63" t="s">
        <v>69</v>
      </c>
      <c r="T63" t="s">
        <v>70</v>
      </c>
      <c r="U63" t="s">
        <v>37</v>
      </c>
      <c r="V63">
        <v>28</v>
      </c>
      <c r="W63" t="s">
        <v>280</v>
      </c>
      <c r="X63" t="s">
        <v>237</v>
      </c>
      <c r="Y63" t="s">
        <v>39</v>
      </c>
    </row>
    <row r="64" spans="1:25" x14ac:dyDescent="0.45">
      <c r="A64" t="s">
        <v>281</v>
      </c>
      <c r="B64" t="s">
        <v>25</v>
      </c>
      <c r="C64" s="3" t="s">
        <v>26</v>
      </c>
      <c r="D64" s="3">
        <f t="shared" si="0"/>
        <v>44840</v>
      </c>
      <c r="E64" t="s">
        <v>282</v>
      </c>
      <c r="F64" s="4">
        <f t="shared" si="1"/>
        <v>0.3840277777777778</v>
      </c>
      <c r="G64" t="s">
        <v>283</v>
      </c>
      <c r="H64" t="s">
        <v>123</v>
      </c>
      <c r="I64" t="s">
        <v>43</v>
      </c>
      <c r="J64" t="s">
        <v>53</v>
      </c>
      <c r="K64" t="s">
        <v>103</v>
      </c>
      <c r="L64" t="s">
        <v>34</v>
      </c>
      <c r="M64">
        <v>7</v>
      </c>
      <c r="N64">
        <v>5</v>
      </c>
      <c r="O64">
        <v>8</v>
      </c>
      <c r="P64">
        <v>0</v>
      </c>
      <c r="Q64">
        <v>0</v>
      </c>
      <c r="R64">
        <v>0</v>
      </c>
      <c r="S64" t="s">
        <v>85</v>
      </c>
      <c r="T64" t="s">
        <v>114</v>
      </c>
      <c r="U64" t="s">
        <v>65</v>
      </c>
      <c r="V64">
        <v>23</v>
      </c>
      <c r="W64" t="s">
        <v>147</v>
      </c>
      <c r="X64" t="s">
        <v>237</v>
      </c>
      <c r="Y64" t="s">
        <v>48</v>
      </c>
    </row>
    <row r="65" spans="1:25" x14ac:dyDescent="0.45">
      <c r="A65" t="s">
        <v>284</v>
      </c>
      <c r="B65" t="s">
        <v>25</v>
      </c>
      <c r="C65" s="3" t="s">
        <v>26</v>
      </c>
      <c r="D65" s="3">
        <f t="shared" si="0"/>
        <v>44840</v>
      </c>
      <c r="E65" t="s">
        <v>282</v>
      </c>
      <c r="F65" s="4">
        <f t="shared" si="1"/>
        <v>0.3840277777777778</v>
      </c>
      <c r="G65" t="s">
        <v>285</v>
      </c>
      <c r="H65" t="s">
        <v>52</v>
      </c>
      <c r="I65" t="s">
        <v>43</v>
      </c>
      <c r="J65" t="s">
        <v>53</v>
      </c>
      <c r="K65" t="s">
        <v>103</v>
      </c>
      <c r="L65" t="s">
        <v>46</v>
      </c>
      <c r="M65">
        <v>2</v>
      </c>
      <c r="N65">
        <v>3</v>
      </c>
      <c r="O65">
        <v>2</v>
      </c>
      <c r="P65">
        <v>5</v>
      </c>
      <c r="Q65">
        <v>5</v>
      </c>
      <c r="R65">
        <v>7</v>
      </c>
      <c r="S65" t="s">
        <v>85</v>
      </c>
      <c r="T65" t="s">
        <v>36</v>
      </c>
      <c r="U65" t="s">
        <v>37</v>
      </c>
      <c r="V65">
        <v>21</v>
      </c>
      <c r="W65" t="s">
        <v>207</v>
      </c>
      <c r="X65" t="s">
        <v>240</v>
      </c>
      <c r="Y65" t="s">
        <v>91</v>
      </c>
    </row>
    <row r="66" spans="1:25" x14ac:dyDescent="0.45">
      <c r="A66" t="s">
        <v>286</v>
      </c>
      <c r="B66" t="s">
        <v>25</v>
      </c>
      <c r="C66" s="3" t="s">
        <v>26</v>
      </c>
      <c r="D66" s="3">
        <f t="shared" si="0"/>
        <v>44840</v>
      </c>
      <c r="E66" t="s">
        <v>287</v>
      </c>
      <c r="F66" s="4">
        <f t="shared" si="1"/>
        <v>0.38472222222222224</v>
      </c>
      <c r="G66" t="s">
        <v>288</v>
      </c>
      <c r="H66" t="s">
        <v>30</v>
      </c>
      <c r="I66" t="s">
        <v>43</v>
      </c>
      <c r="J66" t="s">
        <v>53</v>
      </c>
      <c r="K66" t="s">
        <v>155</v>
      </c>
      <c r="L66" t="s">
        <v>34</v>
      </c>
      <c r="M66">
        <v>4</v>
      </c>
      <c r="N66">
        <v>4</v>
      </c>
      <c r="O66">
        <v>4</v>
      </c>
      <c r="P66">
        <v>4</v>
      </c>
      <c r="Q66">
        <v>5</v>
      </c>
      <c r="R66">
        <v>6</v>
      </c>
      <c r="S66" t="s">
        <v>85</v>
      </c>
      <c r="T66" t="s">
        <v>36</v>
      </c>
      <c r="U66" t="s">
        <v>37</v>
      </c>
      <c r="V66">
        <v>29</v>
      </c>
      <c r="W66" t="s">
        <v>289</v>
      </c>
      <c r="X66" t="s">
        <v>237</v>
      </c>
      <c r="Y66" t="s">
        <v>290</v>
      </c>
    </row>
    <row r="67" spans="1:25" x14ac:dyDescent="0.45">
      <c r="A67" t="s">
        <v>291</v>
      </c>
      <c r="B67" t="s">
        <v>25</v>
      </c>
      <c r="C67" s="3" t="s">
        <v>26</v>
      </c>
      <c r="D67" s="3">
        <f t="shared" ref="D67:D130" si="2">DATEVALUE(C67)</f>
        <v>44840</v>
      </c>
      <c r="E67" t="s">
        <v>292</v>
      </c>
      <c r="F67" s="4">
        <f t="shared" ref="F67:F130" si="3">TIMEVALUE(E67)</f>
        <v>0.38541666666666669</v>
      </c>
      <c r="G67" t="s">
        <v>293</v>
      </c>
      <c r="H67" t="s">
        <v>30</v>
      </c>
      <c r="I67" t="s">
        <v>31</v>
      </c>
      <c r="J67" t="s">
        <v>44</v>
      </c>
      <c r="K67" t="s">
        <v>103</v>
      </c>
      <c r="L67" t="s">
        <v>34</v>
      </c>
      <c r="M67">
        <v>5</v>
      </c>
      <c r="N67">
        <v>6</v>
      </c>
      <c r="O67">
        <v>7</v>
      </c>
      <c r="P67">
        <v>7</v>
      </c>
      <c r="Q67">
        <v>7</v>
      </c>
      <c r="R67">
        <v>6</v>
      </c>
      <c r="S67" t="s">
        <v>69</v>
      </c>
      <c r="T67" t="s">
        <v>70</v>
      </c>
      <c r="U67" t="s">
        <v>37</v>
      </c>
      <c r="V67">
        <v>25</v>
      </c>
      <c r="W67" t="s">
        <v>38</v>
      </c>
      <c r="X67" t="s">
        <v>237</v>
      </c>
      <c r="Y67" t="s">
        <v>48</v>
      </c>
    </row>
    <row r="68" spans="1:25" x14ac:dyDescent="0.45">
      <c r="A68" t="s">
        <v>294</v>
      </c>
      <c r="B68" t="s">
        <v>25</v>
      </c>
      <c r="C68" s="3" t="s">
        <v>26</v>
      </c>
      <c r="D68" s="3">
        <f t="shared" si="2"/>
        <v>44840</v>
      </c>
      <c r="E68" t="s">
        <v>292</v>
      </c>
      <c r="F68" s="4">
        <f t="shared" si="3"/>
        <v>0.38541666666666669</v>
      </c>
      <c r="G68" t="s">
        <v>112</v>
      </c>
      <c r="H68" t="s">
        <v>30</v>
      </c>
      <c r="I68" t="s">
        <v>43</v>
      </c>
      <c r="J68" t="s">
        <v>44</v>
      </c>
      <c r="K68" t="s">
        <v>103</v>
      </c>
      <c r="L68" t="s">
        <v>34</v>
      </c>
      <c r="M68">
        <v>6</v>
      </c>
      <c r="N68">
        <v>6</v>
      </c>
      <c r="O68">
        <v>6</v>
      </c>
      <c r="P68">
        <v>6</v>
      </c>
      <c r="Q68">
        <v>3</v>
      </c>
      <c r="R68">
        <v>5</v>
      </c>
      <c r="S68" t="s">
        <v>69</v>
      </c>
      <c r="T68" t="s">
        <v>114</v>
      </c>
      <c r="U68" t="s">
        <v>37</v>
      </c>
      <c r="V68">
        <v>27</v>
      </c>
      <c r="W68" t="s">
        <v>267</v>
      </c>
      <c r="X68" t="s">
        <v>240</v>
      </c>
      <c r="Y68" t="s">
        <v>58</v>
      </c>
    </row>
    <row r="69" spans="1:25" x14ac:dyDescent="0.45">
      <c r="A69" t="s">
        <v>295</v>
      </c>
      <c r="B69" t="s">
        <v>25</v>
      </c>
      <c r="C69" s="3" t="s">
        <v>26</v>
      </c>
      <c r="D69" s="3">
        <f t="shared" si="2"/>
        <v>44840</v>
      </c>
      <c r="E69" t="s">
        <v>296</v>
      </c>
      <c r="F69" s="4">
        <f t="shared" si="3"/>
        <v>0.38611111111111113</v>
      </c>
      <c r="G69" t="s">
        <v>297</v>
      </c>
      <c r="H69" t="s">
        <v>30</v>
      </c>
      <c r="I69" t="s">
        <v>31</v>
      </c>
      <c r="J69" t="s">
        <v>44</v>
      </c>
      <c r="K69" t="s">
        <v>103</v>
      </c>
      <c r="L69" t="s">
        <v>34</v>
      </c>
      <c r="M69">
        <v>3</v>
      </c>
      <c r="N69">
        <v>9</v>
      </c>
      <c r="O69">
        <v>10</v>
      </c>
      <c r="P69">
        <v>8</v>
      </c>
      <c r="Q69">
        <v>9</v>
      </c>
      <c r="R69">
        <v>9</v>
      </c>
      <c r="S69" t="s">
        <v>55</v>
      </c>
      <c r="T69" t="s">
        <v>70</v>
      </c>
      <c r="U69" t="s">
        <v>37</v>
      </c>
      <c r="V69">
        <v>23</v>
      </c>
      <c r="W69" t="s">
        <v>147</v>
      </c>
      <c r="X69" t="s">
        <v>237</v>
      </c>
      <c r="Y69" t="s">
        <v>48</v>
      </c>
    </row>
    <row r="70" spans="1:25" x14ac:dyDescent="0.45">
      <c r="A70" t="s">
        <v>298</v>
      </c>
      <c r="B70" t="s">
        <v>25</v>
      </c>
      <c r="C70" s="3" t="s">
        <v>26</v>
      </c>
      <c r="D70" s="3">
        <f t="shared" si="2"/>
        <v>44840</v>
      </c>
      <c r="E70" t="s">
        <v>296</v>
      </c>
      <c r="F70" s="4">
        <f t="shared" si="3"/>
        <v>0.38611111111111113</v>
      </c>
      <c r="G70" t="s">
        <v>299</v>
      </c>
      <c r="H70" t="s">
        <v>300</v>
      </c>
      <c r="I70" t="s">
        <v>43</v>
      </c>
      <c r="J70" t="s">
        <v>87</v>
      </c>
      <c r="K70" t="s">
        <v>301</v>
      </c>
      <c r="L70" t="s">
        <v>46</v>
      </c>
      <c r="M70">
        <v>4</v>
      </c>
      <c r="N70">
        <v>3</v>
      </c>
      <c r="O70">
        <v>3</v>
      </c>
      <c r="P70">
        <v>5</v>
      </c>
      <c r="Q70">
        <v>5</v>
      </c>
      <c r="R70">
        <v>5</v>
      </c>
      <c r="S70" t="s">
        <v>69</v>
      </c>
      <c r="T70" t="s">
        <v>70</v>
      </c>
      <c r="U70" t="s">
        <v>37</v>
      </c>
      <c r="V70">
        <v>32</v>
      </c>
      <c r="W70" t="s">
        <v>38</v>
      </c>
      <c r="X70" t="s">
        <v>240</v>
      </c>
      <c r="Y70" t="s">
        <v>48</v>
      </c>
    </row>
    <row r="71" spans="1:25" x14ac:dyDescent="0.45">
      <c r="A71" t="s">
        <v>302</v>
      </c>
      <c r="B71" t="s">
        <v>25</v>
      </c>
      <c r="C71" s="3" t="s">
        <v>26</v>
      </c>
      <c r="D71" s="3">
        <f t="shared" si="2"/>
        <v>44840</v>
      </c>
      <c r="E71" t="s">
        <v>303</v>
      </c>
      <c r="F71" s="4">
        <f t="shared" si="3"/>
        <v>0.38680555555555557</v>
      </c>
      <c r="G71" t="s">
        <v>304</v>
      </c>
      <c r="H71" t="s">
        <v>123</v>
      </c>
      <c r="I71" t="s">
        <v>31</v>
      </c>
      <c r="J71" t="s">
        <v>32</v>
      </c>
      <c r="K71" t="s">
        <v>33</v>
      </c>
      <c r="L71" t="s">
        <v>34</v>
      </c>
      <c r="M71">
        <v>5</v>
      </c>
      <c r="N71">
        <v>5</v>
      </c>
      <c r="O71">
        <v>7</v>
      </c>
      <c r="P71">
        <v>5</v>
      </c>
      <c r="Q71">
        <v>7</v>
      </c>
      <c r="R71">
        <v>7</v>
      </c>
      <c r="S71" t="s">
        <v>85</v>
      </c>
      <c r="T71" t="s">
        <v>36</v>
      </c>
      <c r="U71" t="s">
        <v>37</v>
      </c>
      <c r="V71">
        <v>22</v>
      </c>
      <c r="W71" t="s">
        <v>147</v>
      </c>
      <c r="X71" t="s">
        <v>237</v>
      </c>
      <c r="Y71" t="s">
        <v>48</v>
      </c>
    </row>
    <row r="72" spans="1:25" x14ac:dyDescent="0.45">
      <c r="A72" t="s">
        <v>305</v>
      </c>
      <c r="B72" t="s">
        <v>25</v>
      </c>
      <c r="C72" s="3" t="s">
        <v>26</v>
      </c>
      <c r="D72" s="3">
        <f t="shared" si="2"/>
        <v>44840</v>
      </c>
      <c r="E72" t="s">
        <v>303</v>
      </c>
      <c r="F72" s="4">
        <f t="shared" si="3"/>
        <v>0.38680555555555557</v>
      </c>
      <c r="G72" t="s">
        <v>306</v>
      </c>
      <c r="H72" t="s">
        <v>30</v>
      </c>
      <c r="I72" t="s">
        <v>43</v>
      </c>
      <c r="J72" t="s">
        <v>53</v>
      </c>
      <c r="K72" t="s">
        <v>103</v>
      </c>
      <c r="L72" t="s">
        <v>34</v>
      </c>
      <c r="M72">
        <v>2</v>
      </c>
      <c r="N72">
        <v>9</v>
      </c>
      <c r="O72">
        <v>9</v>
      </c>
      <c r="P72">
        <v>8</v>
      </c>
      <c r="Q72">
        <v>6</v>
      </c>
      <c r="R72">
        <v>2</v>
      </c>
      <c r="S72" t="s">
        <v>55</v>
      </c>
      <c r="T72" t="s">
        <v>70</v>
      </c>
      <c r="U72" t="s">
        <v>37</v>
      </c>
      <c r="V72">
        <v>25</v>
      </c>
      <c r="W72" t="s">
        <v>307</v>
      </c>
      <c r="X72" t="s">
        <v>237</v>
      </c>
      <c r="Y72" t="s">
        <v>48</v>
      </c>
    </row>
    <row r="73" spans="1:25" x14ac:dyDescent="0.45">
      <c r="A73" t="s">
        <v>308</v>
      </c>
      <c r="B73" t="s">
        <v>25</v>
      </c>
      <c r="C73" s="3" t="s">
        <v>26</v>
      </c>
      <c r="D73" s="3">
        <f t="shared" si="2"/>
        <v>44840</v>
      </c>
      <c r="E73" t="s">
        <v>309</v>
      </c>
      <c r="F73" s="4">
        <f t="shared" si="3"/>
        <v>0.38750000000000001</v>
      </c>
      <c r="G73" t="s">
        <v>76</v>
      </c>
      <c r="H73" t="s">
        <v>30</v>
      </c>
      <c r="I73" t="s">
        <v>31</v>
      </c>
      <c r="J73" t="s">
        <v>53</v>
      </c>
      <c r="K73" t="s">
        <v>90</v>
      </c>
      <c r="L73" t="s">
        <v>34</v>
      </c>
      <c r="M73">
        <v>2</v>
      </c>
      <c r="N73">
        <v>8</v>
      </c>
      <c r="O73">
        <v>6</v>
      </c>
      <c r="P73">
        <v>6</v>
      </c>
      <c r="Q73">
        <v>5</v>
      </c>
      <c r="R73">
        <v>5</v>
      </c>
      <c r="S73" t="s">
        <v>85</v>
      </c>
      <c r="T73" t="s">
        <v>36</v>
      </c>
      <c r="U73" t="s">
        <v>65</v>
      </c>
      <c r="V73">
        <v>36</v>
      </c>
      <c r="W73" t="s">
        <v>267</v>
      </c>
      <c r="X73" t="s">
        <v>240</v>
      </c>
      <c r="Y73" t="s">
        <v>39</v>
      </c>
    </row>
    <row r="74" spans="1:25" x14ac:dyDescent="0.45">
      <c r="A74" t="s">
        <v>310</v>
      </c>
      <c r="B74" t="s">
        <v>25</v>
      </c>
      <c r="C74" s="3" t="s">
        <v>26</v>
      </c>
      <c r="D74" s="3">
        <f t="shared" si="2"/>
        <v>44840</v>
      </c>
      <c r="E74" t="s">
        <v>311</v>
      </c>
      <c r="F74" s="4">
        <f t="shared" si="3"/>
        <v>0.38819444444444445</v>
      </c>
      <c r="G74" t="s">
        <v>146</v>
      </c>
      <c r="H74" t="s">
        <v>30</v>
      </c>
      <c r="I74" t="s">
        <v>31</v>
      </c>
      <c r="J74" t="s">
        <v>32</v>
      </c>
      <c r="K74" t="s">
        <v>103</v>
      </c>
      <c r="L74" t="s">
        <v>84</v>
      </c>
      <c r="M74">
        <v>10</v>
      </c>
      <c r="N74">
        <v>6</v>
      </c>
      <c r="O74">
        <v>9</v>
      </c>
      <c r="P74">
        <v>5</v>
      </c>
      <c r="Q74">
        <v>8</v>
      </c>
      <c r="R74">
        <v>7</v>
      </c>
      <c r="S74" t="s">
        <v>55</v>
      </c>
      <c r="T74" t="s">
        <v>56</v>
      </c>
      <c r="U74" t="s">
        <v>65</v>
      </c>
      <c r="V74">
        <v>27</v>
      </c>
      <c r="W74" t="s">
        <v>38</v>
      </c>
      <c r="X74" t="s">
        <v>237</v>
      </c>
      <c r="Y74" t="s">
        <v>39</v>
      </c>
    </row>
    <row r="75" spans="1:25" x14ac:dyDescent="0.45">
      <c r="A75" t="s">
        <v>312</v>
      </c>
      <c r="B75" t="s">
        <v>25</v>
      </c>
      <c r="C75" s="3" t="s">
        <v>26</v>
      </c>
      <c r="D75" s="3">
        <f t="shared" si="2"/>
        <v>44840</v>
      </c>
      <c r="E75" t="s">
        <v>311</v>
      </c>
      <c r="F75" s="4">
        <f t="shared" si="3"/>
        <v>0.38819444444444445</v>
      </c>
      <c r="G75" t="s">
        <v>313</v>
      </c>
      <c r="H75" t="s">
        <v>314</v>
      </c>
      <c r="I75" t="s">
        <v>31</v>
      </c>
      <c r="J75" t="s">
        <v>53</v>
      </c>
      <c r="K75" t="s">
        <v>103</v>
      </c>
      <c r="L75" t="s">
        <v>34</v>
      </c>
      <c r="M75">
        <v>5</v>
      </c>
      <c r="N75">
        <v>5</v>
      </c>
      <c r="O75">
        <v>5</v>
      </c>
      <c r="P75">
        <v>5</v>
      </c>
      <c r="Q75">
        <v>5</v>
      </c>
      <c r="R75">
        <v>1</v>
      </c>
      <c r="S75" t="s">
        <v>85</v>
      </c>
      <c r="T75" t="s">
        <v>315</v>
      </c>
      <c r="U75" t="s">
        <v>37</v>
      </c>
      <c r="V75">
        <v>23</v>
      </c>
      <c r="W75" t="s">
        <v>147</v>
      </c>
      <c r="X75" t="s">
        <v>237</v>
      </c>
      <c r="Y75" t="s">
        <v>48</v>
      </c>
    </row>
    <row r="76" spans="1:25" x14ac:dyDescent="0.45">
      <c r="A76" t="s">
        <v>316</v>
      </c>
      <c r="B76" t="s">
        <v>25</v>
      </c>
      <c r="C76" s="3" t="s">
        <v>26</v>
      </c>
      <c r="D76" s="3">
        <f t="shared" si="2"/>
        <v>44840</v>
      </c>
      <c r="E76" t="s">
        <v>311</v>
      </c>
      <c r="F76" s="4">
        <f t="shared" si="3"/>
        <v>0.38819444444444445</v>
      </c>
      <c r="G76" t="s">
        <v>317</v>
      </c>
      <c r="H76" t="s">
        <v>123</v>
      </c>
      <c r="I76" t="s">
        <v>31</v>
      </c>
      <c r="J76" t="s">
        <v>53</v>
      </c>
      <c r="K76" t="s">
        <v>103</v>
      </c>
      <c r="L76" t="s">
        <v>318</v>
      </c>
      <c r="M76">
        <v>2</v>
      </c>
      <c r="N76">
        <v>3</v>
      </c>
      <c r="O76">
        <v>3</v>
      </c>
      <c r="P76">
        <v>3</v>
      </c>
      <c r="Q76">
        <v>3</v>
      </c>
      <c r="R76">
        <v>6</v>
      </c>
      <c r="S76" t="s">
        <v>35</v>
      </c>
      <c r="T76" t="s">
        <v>70</v>
      </c>
      <c r="U76" t="s">
        <v>37</v>
      </c>
      <c r="V76">
        <v>26</v>
      </c>
      <c r="W76" t="s">
        <v>319</v>
      </c>
      <c r="X76" t="s">
        <v>237</v>
      </c>
      <c r="Y76" t="s">
        <v>58</v>
      </c>
    </row>
    <row r="77" spans="1:25" x14ac:dyDescent="0.45">
      <c r="A77" t="s">
        <v>320</v>
      </c>
      <c r="B77" t="s">
        <v>25</v>
      </c>
      <c r="C77" s="3" t="s">
        <v>26</v>
      </c>
      <c r="D77" s="3">
        <f t="shared" si="2"/>
        <v>44840</v>
      </c>
      <c r="E77" t="s">
        <v>321</v>
      </c>
      <c r="F77" s="4">
        <f t="shared" si="3"/>
        <v>0.3888888888888889</v>
      </c>
      <c r="G77" t="s">
        <v>322</v>
      </c>
      <c r="H77" t="s">
        <v>323</v>
      </c>
      <c r="I77" t="s">
        <v>43</v>
      </c>
      <c r="J77" t="s">
        <v>87</v>
      </c>
      <c r="K77" t="s">
        <v>33</v>
      </c>
      <c r="L77" t="s">
        <v>34</v>
      </c>
      <c r="M77">
        <v>9</v>
      </c>
      <c r="N77">
        <v>10</v>
      </c>
      <c r="O77">
        <v>10</v>
      </c>
      <c r="P77">
        <v>10</v>
      </c>
      <c r="Q77">
        <v>10</v>
      </c>
      <c r="R77">
        <v>10</v>
      </c>
      <c r="S77" t="s">
        <v>64</v>
      </c>
      <c r="T77" t="s">
        <v>56</v>
      </c>
      <c r="U77" t="s">
        <v>65</v>
      </c>
      <c r="V77">
        <v>33</v>
      </c>
      <c r="W77" t="s">
        <v>38</v>
      </c>
      <c r="X77" t="s">
        <v>324</v>
      </c>
      <c r="Y77" t="s">
        <v>91</v>
      </c>
    </row>
    <row r="78" spans="1:25" x14ac:dyDescent="0.45">
      <c r="A78" t="s">
        <v>325</v>
      </c>
      <c r="B78" t="s">
        <v>25</v>
      </c>
      <c r="C78" s="3" t="s">
        <v>26</v>
      </c>
      <c r="D78" s="3">
        <f t="shared" si="2"/>
        <v>44840</v>
      </c>
      <c r="E78" t="s">
        <v>321</v>
      </c>
      <c r="F78" s="4">
        <f t="shared" si="3"/>
        <v>0.3888888888888889</v>
      </c>
      <c r="G78" t="s">
        <v>186</v>
      </c>
      <c r="H78" t="s">
        <v>30</v>
      </c>
      <c r="I78" t="s">
        <v>31</v>
      </c>
      <c r="J78" t="s">
        <v>32</v>
      </c>
      <c r="K78" t="s">
        <v>178</v>
      </c>
      <c r="L78" t="s">
        <v>34</v>
      </c>
      <c r="M78">
        <v>3</v>
      </c>
      <c r="N78">
        <v>5</v>
      </c>
      <c r="O78">
        <v>3</v>
      </c>
      <c r="P78">
        <v>3</v>
      </c>
      <c r="Q78">
        <v>5</v>
      </c>
      <c r="R78">
        <v>5</v>
      </c>
      <c r="S78" t="s">
        <v>55</v>
      </c>
      <c r="T78" t="s">
        <v>70</v>
      </c>
      <c r="U78" t="s">
        <v>37</v>
      </c>
      <c r="V78">
        <v>27</v>
      </c>
      <c r="W78" t="s">
        <v>280</v>
      </c>
      <c r="X78" t="s">
        <v>240</v>
      </c>
      <c r="Y78" t="s">
        <v>39</v>
      </c>
    </row>
    <row r="79" spans="1:25" x14ac:dyDescent="0.45">
      <c r="A79" t="s">
        <v>326</v>
      </c>
      <c r="B79" t="s">
        <v>25</v>
      </c>
      <c r="C79" s="3" t="s">
        <v>26</v>
      </c>
      <c r="D79" s="3">
        <f t="shared" si="2"/>
        <v>44840</v>
      </c>
      <c r="E79" t="s">
        <v>327</v>
      </c>
      <c r="F79" s="4">
        <f t="shared" si="3"/>
        <v>0.38958333333333334</v>
      </c>
      <c r="G79" t="s">
        <v>165</v>
      </c>
      <c r="H79" t="s">
        <v>30</v>
      </c>
      <c r="I79" t="s">
        <v>31</v>
      </c>
      <c r="J79" t="s">
        <v>44</v>
      </c>
      <c r="K79" t="s">
        <v>108</v>
      </c>
      <c r="L79" t="s">
        <v>46</v>
      </c>
      <c r="M79">
        <v>3</v>
      </c>
      <c r="N79">
        <v>6</v>
      </c>
      <c r="O79">
        <v>5</v>
      </c>
      <c r="P79">
        <v>4</v>
      </c>
      <c r="Q79">
        <v>3</v>
      </c>
      <c r="R79">
        <v>4</v>
      </c>
      <c r="S79" t="s">
        <v>85</v>
      </c>
      <c r="T79" t="s">
        <v>70</v>
      </c>
      <c r="U79" t="s">
        <v>37</v>
      </c>
      <c r="V79">
        <v>42</v>
      </c>
      <c r="W79" t="s">
        <v>38</v>
      </c>
      <c r="X79" t="s">
        <v>262</v>
      </c>
      <c r="Y79" t="s">
        <v>39</v>
      </c>
    </row>
    <row r="80" spans="1:25" x14ac:dyDescent="0.45">
      <c r="A80" t="s">
        <v>328</v>
      </c>
      <c r="B80" t="s">
        <v>25</v>
      </c>
      <c r="C80" s="3" t="s">
        <v>26</v>
      </c>
      <c r="D80" s="3">
        <f t="shared" si="2"/>
        <v>44840</v>
      </c>
      <c r="E80" t="s">
        <v>327</v>
      </c>
      <c r="F80" s="4">
        <f t="shared" si="3"/>
        <v>0.38958333333333334</v>
      </c>
      <c r="G80" t="s">
        <v>299</v>
      </c>
      <c r="H80" t="s">
        <v>30</v>
      </c>
      <c r="I80" t="s">
        <v>31</v>
      </c>
      <c r="J80" t="s">
        <v>53</v>
      </c>
      <c r="K80" t="s">
        <v>103</v>
      </c>
      <c r="L80" t="s">
        <v>34</v>
      </c>
      <c r="M80">
        <v>6</v>
      </c>
      <c r="N80">
        <v>7</v>
      </c>
      <c r="O80">
        <v>8</v>
      </c>
      <c r="P80">
        <v>7</v>
      </c>
      <c r="Q80">
        <v>7</v>
      </c>
      <c r="R80">
        <v>8</v>
      </c>
      <c r="S80" t="s">
        <v>55</v>
      </c>
      <c r="T80" t="s">
        <v>56</v>
      </c>
      <c r="U80" t="s">
        <v>37</v>
      </c>
      <c r="V80">
        <v>29</v>
      </c>
      <c r="W80" t="s">
        <v>207</v>
      </c>
      <c r="X80" t="s">
        <v>240</v>
      </c>
      <c r="Y80" t="s">
        <v>39</v>
      </c>
    </row>
    <row r="81" spans="1:25" x14ac:dyDescent="0.45">
      <c r="A81" t="s">
        <v>329</v>
      </c>
      <c r="B81" t="s">
        <v>25</v>
      </c>
      <c r="C81" s="3" t="s">
        <v>26</v>
      </c>
      <c r="D81" s="3">
        <f t="shared" si="2"/>
        <v>44840</v>
      </c>
      <c r="E81" t="s">
        <v>330</v>
      </c>
      <c r="F81" s="4">
        <f t="shared" si="3"/>
        <v>0.39027777777777778</v>
      </c>
      <c r="G81" t="s">
        <v>331</v>
      </c>
      <c r="H81" t="s">
        <v>30</v>
      </c>
      <c r="I81" t="s">
        <v>43</v>
      </c>
      <c r="J81" t="s">
        <v>82</v>
      </c>
      <c r="K81" t="s">
        <v>103</v>
      </c>
      <c r="L81" t="s">
        <v>34</v>
      </c>
      <c r="M81">
        <v>4</v>
      </c>
      <c r="N81">
        <v>7</v>
      </c>
      <c r="O81">
        <v>6</v>
      </c>
      <c r="P81">
        <v>4</v>
      </c>
      <c r="Q81">
        <v>2</v>
      </c>
      <c r="R81">
        <v>4</v>
      </c>
      <c r="S81" t="s">
        <v>55</v>
      </c>
      <c r="T81" t="s">
        <v>70</v>
      </c>
      <c r="U81" t="s">
        <v>65</v>
      </c>
      <c r="V81">
        <v>27</v>
      </c>
      <c r="W81" t="s">
        <v>38</v>
      </c>
      <c r="X81" t="s">
        <v>240</v>
      </c>
      <c r="Y81" t="s">
        <v>48</v>
      </c>
    </row>
    <row r="82" spans="1:25" x14ac:dyDescent="0.45">
      <c r="A82" t="s">
        <v>332</v>
      </c>
      <c r="B82" t="s">
        <v>25</v>
      </c>
      <c r="C82" s="3" t="s">
        <v>26</v>
      </c>
      <c r="D82" s="3">
        <f t="shared" si="2"/>
        <v>44840</v>
      </c>
      <c r="E82" t="s">
        <v>330</v>
      </c>
      <c r="F82" s="4">
        <f t="shared" si="3"/>
        <v>0.39027777777777778</v>
      </c>
      <c r="G82" t="s">
        <v>333</v>
      </c>
      <c r="H82" t="s">
        <v>123</v>
      </c>
      <c r="I82" t="s">
        <v>43</v>
      </c>
      <c r="J82" t="s">
        <v>44</v>
      </c>
      <c r="K82" t="s">
        <v>33</v>
      </c>
      <c r="L82" t="s">
        <v>34</v>
      </c>
      <c r="M82">
        <v>0</v>
      </c>
      <c r="N82">
        <v>10</v>
      </c>
      <c r="O82">
        <v>10</v>
      </c>
      <c r="P82">
        <v>10</v>
      </c>
      <c r="Q82">
        <v>4</v>
      </c>
      <c r="R82">
        <v>2</v>
      </c>
      <c r="S82" t="s">
        <v>85</v>
      </c>
      <c r="T82" t="s">
        <v>36</v>
      </c>
      <c r="U82" t="s">
        <v>65</v>
      </c>
      <c r="V82">
        <v>39</v>
      </c>
      <c r="W82" t="s">
        <v>38</v>
      </c>
      <c r="X82" t="s">
        <v>237</v>
      </c>
      <c r="Y82" t="s">
        <v>91</v>
      </c>
    </row>
    <row r="83" spans="1:25" x14ac:dyDescent="0.45">
      <c r="A83" t="s">
        <v>334</v>
      </c>
      <c r="B83" t="s">
        <v>25</v>
      </c>
      <c r="C83" s="3" t="s">
        <v>26</v>
      </c>
      <c r="D83" s="3">
        <f t="shared" si="2"/>
        <v>44840</v>
      </c>
      <c r="E83" t="s">
        <v>335</v>
      </c>
      <c r="F83" s="4">
        <f t="shared" si="3"/>
        <v>0.39097222222222222</v>
      </c>
      <c r="G83" t="s">
        <v>336</v>
      </c>
      <c r="H83" t="s">
        <v>30</v>
      </c>
      <c r="I83" t="s">
        <v>31</v>
      </c>
      <c r="J83" t="s">
        <v>44</v>
      </c>
      <c r="K83" t="s">
        <v>90</v>
      </c>
      <c r="L83" t="s">
        <v>34</v>
      </c>
      <c r="M83">
        <v>6</v>
      </c>
      <c r="N83">
        <v>6</v>
      </c>
      <c r="O83">
        <v>7</v>
      </c>
      <c r="P83">
        <v>5</v>
      </c>
      <c r="Q83">
        <v>6</v>
      </c>
      <c r="R83">
        <v>7</v>
      </c>
      <c r="S83" t="s">
        <v>69</v>
      </c>
      <c r="T83" t="s">
        <v>114</v>
      </c>
      <c r="U83" t="s">
        <v>37</v>
      </c>
      <c r="V83">
        <v>31</v>
      </c>
      <c r="W83" t="s">
        <v>337</v>
      </c>
      <c r="X83" t="s">
        <v>240</v>
      </c>
      <c r="Y83" t="s">
        <v>39</v>
      </c>
    </row>
    <row r="84" spans="1:25" x14ac:dyDescent="0.45">
      <c r="A84" t="s">
        <v>338</v>
      </c>
      <c r="B84" t="s">
        <v>25</v>
      </c>
      <c r="C84" s="3" t="s">
        <v>26</v>
      </c>
      <c r="D84" s="3">
        <f t="shared" si="2"/>
        <v>44840</v>
      </c>
      <c r="E84" t="s">
        <v>335</v>
      </c>
      <c r="F84" s="4">
        <f t="shared" si="3"/>
        <v>0.39097222222222222</v>
      </c>
      <c r="G84" t="s">
        <v>339</v>
      </c>
      <c r="H84" t="s">
        <v>30</v>
      </c>
      <c r="I84" t="s">
        <v>31</v>
      </c>
      <c r="J84" t="s">
        <v>94</v>
      </c>
      <c r="K84" t="s">
        <v>340</v>
      </c>
      <c r="L84" t="s">
        <v>34</v>
      </c>
      <c r="M84">
        <v>7</v>
      </c>
      <c r="N84">
        <v>7</v>
      </c>
      <c r="O84">
        <v>5</v>
      </c>
      <c r="P84">
        <v>9</v>
      </c>
      <c r="Q84">
        <v>7</v>
      </c>
      <c r="R84">
        <v>8</v>
      </c>
      <c r="S84" t="s">
        <v>55</v>
      </c>
      <c r="T84" t="s">
        <v>56</v>
      </c>
      <c r="U84" t="s">
        <v>37</v>
      </c>
      <c r="V84">
        <v>29</v>
      </c>
      <c r="W84" t="s">
        <v>341</v>
      </c>
      <c r="X84" t="s">
        <v>237</v>
      </c>
      <c r="Y84" t="s">
        <v>91</v>
      </c>
    </row>
    <row r="85" spans="1:25" x14ac:dyDescent="0.45">
      <c r="A85" t="s">
        <v>342</v>
      </c>
      <c r="B85" t="s">
        <v>25</v>
      </c>
      <c r="C85" s="3" t="s">
        <v>26</v>
      </c>
      <c r="D85" s="3">
        <f t="shared" si="2"/>
        <v>44840</v>
      </c>
      <c r="E85" t="s">
        <v>343</v>
      </c>
      <c r="F85" s="4">
        <f t="shared" si="3"/>
        <v>0.3923611111111111</v>
      </c>
      <c r="G85" t="s">
        <v>344</v>
      </c>
      <c r="H85" t="s">
        <v>30</v>
      </c>
      <c r="I85" t="s">
        <v>31</v>
      </c>
      <c r="J85" t="s">
        <v>94</v>
      </c>
      <c r="K85" t="s">
        <v>108</v>
      </c>
      <c r="L85" t="s">
        <v>46</v>
      </c>
      <c r="M85">
        <v>7</v>
      </c>
      <c r="N85">
        <v>7</v>
      </c>
      <c r="O85">
        <v>7</v>
      </c>
      <c r="P85">
        <v>7</v>
      </c>
      <c r="Q85">
        <v>4</v>
      </c>
      <c r="R85">
        <v>7</v>
      </c>
      <c r="S85" t="s">
        <v>55</v>
      </c>
      <c r="T85" t="s">
        <v>36</v>
      </c>
      <c r="U85" t="s">
        <v>37</v>
      </c>
      <c r="V85">
        <v>31</v>
      </c>
      <c r="W85" t="s">
        <v>38</v>
      </c>
      <c r="X85" t="s">
        <v>240</v>
      </c>
      <c r="Y85" t="s">
        <v>39</v>
      </c>
    </row>
    <row r="86" spans="1:25" x14ac:dyDescent="0.45">
      <c r="A86" t="s">
        <v>345</v>
      </c>
      <c r="B86" t="s">
        <v>25</v>
      </c>
      <c r="C86" s="3" t="s">
        <v>26</v>
      </c>
      <c r="D86" s="3">
        <f t="shared" si="2"/>
        <v>44840</v>
      </c>
      <c r="E86" t="s">
        <v>346</v>
      </c>
      <c r="F86" s="4">
        <f t="shared" si="3"/>
        <v>0.39305555555555555</v>
      </c>
      <c r="G86" t="s">
        <v>42</v>
      </c>
      <c r="H86" t="s">
        <v>30</v>
      </c>
      <c r="I86" t="s">
        <v>31</v>
      </c>
      <c r="J86" t="s">
        <v>53</v>
      </c>
      <c r="K86" t="s">
        <v>45</v>
      </c>
      <c r="L86" t="s">
        <v>34</v>
      </c>
      <c r="M86">
        <v>10</v>
      </c>
      <c r="N86">
        <v>9</v>
      </c>
      <c r="O86">
        <v>9</v>
      </c>
      <c r="P86">
        <v>10</v>
      </c>
      <c r="Q86">
        <v>9</v>
      </c>
      <c r="R86">
        <v>10</v>
      </c>
      <c r="S86" t="s">
        <v>85</v>
      </c>
      <c r="T86" t="s">
        <v>114</v>
      </c>
      <c r="U86" t="s">
        <v>37</v>
      </c>
      <c r="V86">
        <v>30</v>
      </c>
      <c r="W86" t="s">
        <v>347</v>
      </c>
      <c r="X86" t="s">
        <v>240</v>
      </c>
      <c r="Y86" t="s">
        <v>91</v>
      </c>
    </row>
    <row r="87" spans="1:25" x14ac:dyDescent="0.45">
      <c r="A87" t="s">
        <v>348</v>
      </c>
      <c r="B87" t="s">
        <v>25</v>
      </c>
      <c r="C87" s="3" t="s">
        <v>26</v>
      </c>
      <c r="D87" s="3">
        <f t="shared" si="2"/>
        <v>44840</v>
      </c>
      <c r="E87" t="s">
        <v>346</v>
      </c>
      <c r="F87" s="4">
        <f t="shared" si="3"/>
        <v>0.39305555555555555</v>
      </c>
      <c r="G87" t="s">
        <v>349</v>
      </c>
      <c r="H87" t="s">
        <v>52</v>
      </c>
      <c r="I87" t="s">
        <v>31</v>
      </c>
      <c r="J87" t="s">
        <v>53</v>
      </c>
      <c r="K87" t="s">
        <v>103</v>
      </c>
      <c r="L87" t="s">
        <v>34</v>
      </c>
      <c r="M87">
        <v>7</v>
      </c>
      <c r="N87">
        <v>8</v>
      </c>
      <c r="O87">
        <v>6</v>
      </c>
      <c r="P87">
        <v>5</v>
      </c>
      <c r="Q87">
        <v>5</v>
      </c>
      <c r="R87">
        <v>9</v>
      </c>
      <c r="S87" t="s">
        <v>69</v>
      </c>
      <c r="T87" t="s">
        <v>70</v>
      </c>
      <c r="U87" t="s">
        <v>37</v>
      </c>
      <c r="V87">
        <v>33</v>
      </c>
      <c r="W87" t="s">
        <v>347</v>
      </c>
      <c r="X87" t="s">
        <v>240</v>
      </c>
      <c r="Y87" t="s">
        <v>91</v>
      </c>
    </row>
    <row r="88" spans="1:25" x14ac:dyDescent="0.45">
      <c r="A88" t="s">
        <v>350</v>
      </c>
      <c r="B88" t="s">
        <v>25</v>
      </c>
      <c r="C88" s="3" t="s">
        <v>26</v>
      </c>
      <c r="D88" s="3">
        <f t="shared" si="2"/>
        <v>44840</v>
      </c>
      <c r="E88" t="s">
        <v>351</v>
      </c>
      <c r="F88" s="4">
        <f t="shared" si="3"/>
        <v>0.39374999999999999</v>
      </c>
      <c r="G88" t="s">
        <v>352</v>
      </c>
      <c r="H88" t="s">
        <v>30</v>
      </c>
      <c r="I88" t="s">
        <v>43</v>
      </c>
      <c r="J88" t="s">
        <v>94</v>
      </c>
      <c r="K88" t="s">
        <v>83</v>
      </c>
      <c r="L88" t="s">
        <v>34</v>
      </c>
      <c r="M88">
        <v>7</v>
      </c>
      <c r="N88">
        <v>8</v>
      </c>
      <c r="O88">
        <v>9</v>
      </c>
      <c r="P88">
        <v>7</v>
      </c>
      <c r="Q88">
        <v>7</v>
      </c>
      <c r="R88">
        <v>7</v>
      </c>
      <c r="S88" t="s">
        <v>85</v>
      </c>
      <c r="T88" t="s">
        <v>70</v>
      </c>
      <c r="U88" t="s">
        <v>37</v>
      </c>
      <c r="V88">
        <v>25</v>
      </c>
      <c r="W88" t="s">
        <v>38</v>
      </c>
      <c r="X88" t="s">
        <v>237</v>
      </c>
      <c r="Y88" t="s">
        <v>39</v>
      </c>
    </row>
    <row r="89" spans="1:25" x14ac:dyDescent="0.45">
      <c r="A89" t="s">
        <v>353</v>
      </c>
      <c r="B89" t="s">
        <v>25</v>
      </c>
      <c r="C89" s="3" t="s">
        <v>26</v>
      </c>
      <c r="D89" s="3">
        <f t="shared" si="2"/>
        <v>44840</v>
      </c>
      <c r="E89" t="s">
        <v>351</v>
      </c>
      <c r="F89" s="4">
        <f t="shared" si="3"/>
        <v>0.39374999999999999</v>
      </c>
      <c r="G89" t="s">
        <v>275</v>
      </c>
      <c r="H89" t="s">
        <v>123</v>
      </c>
      <c r="I89" t="s">
        <v>43</v>
      </c>
      <c r="J89" t="s">
        <v>53</v>
      </c>
      <c r="K89" t="s">
        <v>103</v>
      </c>
      <c r="L89" t="s">
        <v>46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85</v>
      </c>
      <c r="T89" t="s">
        <v>56</v>
      </c>
      <c r="U89" t="s">
        <v>37</v>
      </c>
      <c r="V89">
        <v>23</v>
      </c>
      <c r="W89" t="s">
        <v>147</v>
      </c>
      <c r="X89" t="s">
        <v>237</v>
      </c>
      <c r="Y89" t="s">
        <v>200</v>
      </c>
    </row>
    <row r="90" spans="1:25" x14ac:dyDescent="0.45">
      <c r="A90" t="s">
        <v>354</v>
      </c>
      <c r="B90" t="s">
        <v>25</v>
      </c>
      <c r="C90" s="3" t="s">
        <v>26</v>
      </c>
      <c r="D90" s="3">
        <f t="shared" si="2"/>
        <v>44840</v>
      </c>
      <c r="E90" t="s">
        <v>351</v>
      </c>
      <c r="F90" s="4">
        <f t="shared" si="3"/>
        <v>0.39374999999999999</v>
      </c>
      <c r="G90" t="s">
        <v>68</v>
      </c>
      <c r="H90" t="s">
        <v>30</v>
      </c>
      <c r="I90" t="s">
        <v>31</v>
      </c>
      <c r="J90" t="s">
        <v>44</v>
      </c>
      <c r="K90" t="s">
        <v>355</v>
      </c>
      <c r="L90" t="s">
        <v>356</v>
      </c>
      <c r="M90">
        <v>4</v>
      </c>
      <c r="N90">
        <v>4</v>
      </c>
      <c r="O90">
        <v>3</v>
      </c>
      <c r="P90">
        <v>3</v>
      </c>
      <c r="Q90">
        <v>5</v>
      </c>
      <c r="R90">
        <v>6</v>
      </c>
      <c r="S90" t="s">
        <v>35</v>
      </c>
      <c r="T90" t="s">
        <v>70</v>
      </c>
      <c r="U90" t="s">
        <v>37</v>
      </c>
      <c r="V90">
        <v>33</v>
      </c>
      <c r="W90" t="s">
        <v>38</v>
      </c>
      <c r="X90" t="s">
        <v>237</v>
      </c>
      <c r="Y90" t="s">
        <v>48</v>
      </c>
    </row>
    <row r="91" spans="1:25" x14ac:dyDescent="0.45">
      <c r="A91" t="s">
        <v>357</v>
      </c>
      <c r="B91" t="s">
        <v>25</v>
      </c>
      <c r="C91" s="3" t="s">
        <v>26</v>
      </c>
      <c r="D91" s="3">
        <f t="shared" si="2"/>
        <v>44840</v>
      </c>
      <c r="E91" t="s">
        <v>351</v>
      </c>
      <c r="F91" s="4">
        <f t="shared" si="3"/>
        <v>0.39374999999999999</v>
      </c>
      <c r="G91" t="s">
        <v>358</v>
      </c>
      <c r="H91" t="s">
        <v>266</v>
      </c>
      <c r="I91" t="s">
        <v>31</v>
      </c>
      <c r="J91" t="s">
        <v>94</v>
      </c>
      <c r="K91" t="s">
        <v>95</v>
      </c>
      <c r="L91" t="s">
        <v>34</v>
      </c>
      <c r="M91">
        <v>7</v>
      </c>
      <c r="N91">
        <v>9</v>
      </c>
      <c r="O91">
        <v>9</v>
      </c>
      <c r="P91">
        <v>8</v>
      </c>
      <c r="Q91">
        <v>8</v>
      </c>
      <c r="R91">
        <v>9</v>
      </c>
      <c r="S91" t="s">
        <v>85</v>
      </c>
      <c r="T91" t="s">
        <v>56</v>
      </c>
      <c r="U91" t="s">
        <v>37</v>
      </c>
      <c r="V91">
        <v>35</v>
      </c>
      <c r="W91" t="s">
        <v>359</v>
      </c>
      <c r="X91" t="s">
        <v>237</v>
      </c>
      <c r="Y91" t="s">
        <v>91</v>
      </c>
    </row>
    <row r="92" spans="1:25" x14ac:dyDescent="0.45">
      <c r="A92" t="s">
        <v>360</v>
      </c>
      <c r="B92" t="s">
        <v>25</v>
      </c>
      <c r="C92" s="3" t="s">
        <v>26</v>
      </c>
      <c r="D92" s="3">
        <f t="shared" si="2"/>
        <v>44840</v>
      </c>
      <c r="E92" t="s">
        <v>351</v>
      </c>
      <c r="F92" s="4">
        <f t="shared" si="3"/>
        <v>0.39374999999999999</v>
      </c>
      <c r="G92" t="s">
        <v>210</v>
      </c>
      <c r="H92" t="s">
        <v>30</v>
      </c>
      <c r="I92" t="s">
        <v>43</v>
      </c>
      <c r="J92" t="s">
        <v>44</v>
      </c>
      <c r="K92" t="s">
        <v>361</v>
      </c>
      <c r="L92" t="s">
        <v>34</v>
      </c>
      <c r="M92">
        <v>6</v>
      </c>
      <c r="N92">
        <v>8</v>
      </c>
      <c r="O92">
        <v>5</v>
      </c>
      <c r="P92" t="s">
        <v>28</v>
      </c>
      <c r="Q92">
        <v>6</v>
      </c>
      <c r="R92">
        <v>9</v>
      </c>
      <c r="S92" t="s">
        <v>85</v>
      </c>
      <c r="T92" t="s">
        <v>36</v>
      </c>
      <c r="U92" t="s">
        <v>65</v>
      </c>
      <c r="V92">
        <v>42</v>
      </c>
      <c r="W92" t="s">
        <v>183</v>
      </c>
      <c r="X92" t="s">
        <v>240</v>
      </c>
      <c r="Y92" t="s">
        <v>39</v>
      </c>
    </row>
    <row r="93" spans="1:25" x14ac:dyDescent="0.45">
      <c r="A93" t="s">
        <v>362</v>
      </c>
      <c r="B93" t="s">
        <v>25</v>
      </c>
      <c r="C93" s="3" t="s">
        <v>26</v>
      </c>
      <c r="D93" s="3">
        <f t="shared" si="2"/>
        <v>44840</v>
      </c>
      <c r="E93" t="s">
        <v>363</v>
      </c>
      <c r="F93" s="4">
        <f t="shared" si="3"/>
        <v>0.39513888888888887</v>
      </c>
      <c r="G93" t="s">
        <v>364</v>
      </c>
      <c r="H93" t="s">
        <v>30</v>
      </c>
      <c r="I93" t="s">
        <v>43</v>
      </c>
      <c r="J93" t="s">
        <v>94</v>
      </c>
      <c r="K93" t="s">
        <v>103</v>
      </c>
      <c r="L93" t="s">
        <v>34</v>
      </c>
      <c r="M93">
        <v>3</v>
      </c>
      <c r="N93">
        <v>4</v>
      </c>
      <c r="O93">
        <v>2</v>
      </c>
      <c r="P93">
        <v>1</v>
      </c>
      <c r="Q93">
        <v>0</v>
      </c>
      <c r="R93">
        <v>4</v>
      </c>
      <c r="S93" t="s">
        <v>85</v>
      </c>
      <c r="T93" t="s">
        <v>70</v>
      </c>
      <c r="U93" t="s">
        <v>37</v>
      </c>
      <c r="V93">
        <v>25</v>
      </c>
      <c r="W93" t="s">
        <v>38</v>
      </c>
      <c r="X93" t="s">
        <v>237</v>
      </c>
      <c r="Y93" t="s">
        <v>39</v>
      </c>
    </row>
    <row r="94" spans="1:25" x14ac:dyDescent="0.45">
      <c r="A94" t="s">
        <v>365</v>
      </c>
      <c r="B94" t="s">
        <v>25</v>
      </c>
      <c r="C94" s="3" t="s">
        <v>26</v>
      </c>
      <c r="D94" s="3">
        <f t="shared" si="2"/>
        <v>44840</v>
      </c>
      <c r="E94" t="s">
        <v>366</v>
      </c>
      <c r="F94" s="4">
        <f t="shared" si="3"/>
        <v>0.39583333333333331</v>
      </c>
      <c r="G94" t="s">
        <v>367</v>
      </c>
      <c r="H94" t="s">
        <v>30</v>
      </c>
      <c r="I94" t="s">
        <v>43</v>
      </c>
      <c r="J94" t="s">
        <v>87</v>
      </c>
      <c r="K94" t="s">
        <v>178</v>
      </c>
      <c r="L94" t="s">
        <v>34</v>
      </c>
      <c r="M94">
        <v>5</v>
      </c>
      <c r="N94">
        <v>4</v>
      </c>
      <c r="O94">
        <v>5</v>
      </c>
      <c r="P94">
        <v>4</v>
      </c>
      <c r="Q94">
        <v>3</v>
      </c>
      <c r="R94">
        <v>6</v>
      </c>
      <c r="S94" t="s">
        <v>85</v>
      </c>
      <c r="T94" t="s">
        <v>368</v>
      </c>
      <c r="U94" t="s">
        <v>37</v>
      </c>
      <c r="V94">
        <v>23</v>
      </c>
      <c r="W94" t="s">
        <v>38</v>
      </c>
      <c r="X94" t="s">
        <v>237</v>
      </c>
      <c r="Y94" t="s">
        <v>39</v>
      </c>
    </row>
    <row r="95" spans="1:25" x14ac:dyDescent="0.45">
      <c r="A95" t="s">
        <v>369</v>
      </c>
      <c r="B95" t="s">
        <v>25</v>
      </c>
      <c r="C95" s="3" t="s">
        <v>26</v>
      </c>
      <c r="D95" s="3">
        <f t="shared" si="2"/>
        <v>44840</v>
      </c>
      <c r="E95" t="s">
        <v>370</v>
      </c>
      <c r="F95" s="4">
        <f t="shared" si="3"/>
        <v>0.39652777777777776</v>
      </c>
      <c r="G95" t="s">
        <v>371</v>
      </c>
      <c r="H95" t="s">
        <v>372</v>
      </c>
      <c r="I95" t="s">
        <v>43</v>
      </c>
      <c r="J95" t="s">
        <v>44</v>
      </c>
      <c r="K95" t="s">
        <v>33</v>
      </c>
      <c r="L95" t="s">
        <v>204</v>
      </c>
      <c r="M95">
        <v>2</v>
      </c>
      <c r="N95">
        <v>4</v>
      </c>
      <c r="O95">
        <v>6</v>
      </c>
      <c r="P95">
        <v>5</v>
      </c>
      <c r="Q95">
        <v>3</v>
      </c>
      <c r="R95">
        <v>4</v>
      </c>
      <c r="S95" t="s">
        <v>55</v>
      </c>
      <c r="T95" t="s">
        <v>70</v>
      </c>
      <c r="U95" t="s">
        <v>65</v>
      </c>
      <c r="V95">
        <v>51</v>
      </c>
      <c r="W95" t="s">
        <v>38</v>
      </c>
      <c r="X95" t="s">
        <v>237</v>
      </c>
      <c r="Y95" t="s">
        <v>58</v>
      </c>
    </row>
    <row r="96" spans="1:25" x14ac:dyDescent="0.45">
      <c r="A96" t="s">
        <v>373</v>
      </c>
      <c r="B96" t="s">
        <v>25</v>
      </c>
      <c r="C96" s="3" t="s">
        <v>26</v>
      </c>
      <c r="D96" s="3">
        <f t="shared" si="2"/>
        <v>44840</v>
      </c>
      <c r="E96" t="s">
        <v>374</v>
      </c>
      <c r="F96" s="4">
        <f t="shared" si="3"/>
        <v>0.3972222222222222</v>
      </c>
      <c r="G96" t="s">
        <v>375</v>
      </c>
      <c r="H96" t="s">
        <v>30</v>
      </c>
      <c r="I96" t="s">
        <v>43</v>
      </c>
      <c r="J96" t="s">
        <v>53</v>
      </c>
      <c r="K96" t="s">
        <v>90</v>
      </c>
      <c r="L96" t="s">
        <v>376</v>
      </c>
      <c r="M96">
        <v>1</v>
      </c>
      <c r="N96">
        <v>4</v>
      </c>
      <c r="O96">
        <v>4</v>
      </c>
      <c r="P96">
        <v>3</v>
      </c>
      <c r="Q96">
        <v>2</v>
      </c>
      <c r="R96">
        <v>6</v>
      </c>
      <c r="S96" t="s">
        <v>35</v>
      </c>
      <c r="T96" t="s">
        <v>70</v>
      </c>
      <c r="U96" t="s">
        <v>37</v>
      </c>
      <c r="V96">
        <v>30</v>
      </c>
      <c r="W96" t="s">
        <v>109</v>
      </c>
      <c r="X96" t="s">
        <v>237</v>
      </c>
      <c r="Y96" t="s">
        <v>58</v>
      </c>
    </row>
    <row r="97" spans="1:25" x14ac:dyDescent="0.45">
      <c r="A97" t="s">
        <v>377</v>
      </c>
      <c r="B97" t="s">
        <v>25</v>
      </c>
      <c r="C97" s="3" t="s">
        <v>26</v>
      </c>
      <c r="D97" s="3">
        <f t="shared" si="2"/>
        <v>44840</v>
      </c>
      <c r="E97" t="s">
        <v>378</v>
      </c>
      <c r="F97" s="4">
        <f t="shared" si="3"/>
        <v>0.39791666666666664</v>
      </c>
      <c r="G97" t="s">
        <v>333</v>
      </c>
      <c r="H97" t="s">
        <v>30</v>
      </c>
      <c r="I97" t="s">
        <v>31</v>
      </c>
      <c r="J97" t="s">
        <v>44</v>
      </c>
      <c r="K97" t="s">
        <v>45</v>
      </c>
      <c r="L97" t="s">
        <v>34</v>
      </c>
      <c r="M97">
        <v>8</v>
      </c>
      <c r="N97">
        <v>9</v>
      </c>
      <c r="O97">
        <v>9</v>
      </c>
      <c r="P97">
        <v>9</v>
      </c>
      <c r="Q97">
        <v>9</v>
      </c>
      <c r="R97">
        <v>8</v>
      </c>
      <c r="S97" t="s">
        <v>35</v>
      </c>
      <c r="T97" t="s">
        <v>70</v>
      </c>
      <c r="U97" t="s">
        <v>37</v>
      </c>
      <c r="V97">
        <v>23</v>
      </c>
      <c r="W97" t="s">
        <v>147</v>
      </c>
      <c r="X97" t="s">
        <v>237</v>
      </c>
      <c r="Y97" t="s">
        <v>48</v>
      </c>
    </row>
    <row r="98" spans="1:25" x14ac:dyDescent="0.45">
      <c r="A98" t="s">
        <v>379</v>
      </c>
      <c r="B98" t="s">
        <v>25</v>
      </c>
      <c r="C98" s="3" t="s">
        <v>26</v>
      </c>
      <c r="D98" s="3">
        <f t="shared" si="2"/>
        <v>44840</v>
      </c>
      <c r="E98" t="s">
        <v>380</v>
      </c>
      <c r="F98" s="4">
        <f t="shared" si="3"/>
        <v>0.39861111111111114</v>
      </c>
      <c r="G98" t="s">
        <v>119</v>
      </c>
      <c r="H98" t="s">
        <v>381</v>
      </c>
      <c r="I98" t="s">
        <v>31</v>
      </c>
      <c r="J98" t="s">
        <v>44</v>
      </c>
      <c r="K98" t="s">
        <v>355</v>
      </c>
      <c r="L98" t="s">
        <v>46</v>
      </c>
      <c r="M98">
        <v>3</v>
      </c>
      <c r="N98">
        <v>5</v>
      </c>
      <c r="O98">
        <v>5</v>
      </c>
      <c r="P98">
        <v>6</v>
      </c>
      <c r="Q98">
        <v>3</v>
      </c>
      <c r="R98">
        <v>4</v>
      </c>
      <c r="S98" t="s">
        <v>85</v>
      </c>
      <c r="T98" t="s">
        <v>70</v>
      </c>
      <c r="U98" t="s">
        <v>37</v>
      </c>
      <c r="V98">
        <v>24</v>
      </c>
      <c r="W98" t="s">
        <v>47</v>
      </c>
      <c r="X98" t="s">
        <v>237</v>
      </c>
      <c r="Y98" t="s">
        <v>48</v>
      </c>
    </row>
    <row r="99" spans="1:25" x14ac:dyDescent="0.45">
      <c r="A99" t="s">
        <v>382</v>
      </c>
      <c r="B99" t="s">
        <v>25</v>
      </c>
      <c r="C99" s="3" t="s">
        <v>26</v>
      </c>
      <c r="D99" s="3">
        <f t="shared" si="2"/>
        <v>44840</v>
      </c>
      <c r="E99" t="s">
        <v>383</v>
      </c>
      <c r="F99" s="4">
        <f t="shared" si="3"/>
        <v>0.39930555555555558</v>
      </c>
      <c r="G99" t="s">
        <v>119</v>
      </c>
      <c r="H99" t="s">
        <v>123</v>
      </c>
      <c r="I99" t="s">
        <v>31</v>
      </c>
      <c r="J99" t="s">
        <v>44</v>
      </c>
      <c r="K99" t="s">
        <v>103</v>
      </c>
      <c r="L99" t="s">
        <v>34</v>
      </c>
      <c r="M99">
        <v>6</v>
      </c>
      <c r="N99">
        <v>6</v>
      </c>
      <c r="O99">
        <v>6</v>
      </c>
      <c r="P99">
        <v>6</v>
      </c>
      <c r="Q99">
        <v>6</v>
      </c>
      <c r="R99">
        <v>6</v>
      </c>
      <c r="S99" t="s">
        <v>55</v>
      </c>
      <c r="T99" t="s">
        <v>114</v>
      </c>
      <c r="U99" t="s">
        <v>37</v>
      </c>
      <c r="V99">
        <v>25</v>
      </c>
      <c r="W99" t="s">
        <v>199</v>
      </c>
      <c r="X99" t="s">
        <v>240</v>
      </c>
      <c r="Y99" t="s">
        <v>48</v>
      </c>
    </row>
    <row r="100" spans="1:25" x14ac:dyDescent="0.45">
      <c r="A100" t="s">
        <v>384</v>
      </c>
      <c r="B100" t="s">
        <v>25</v>
      </c>
      <c r="C100" s="3" t="s">
        <v>26</v>
      </c>
      <c r="D100" s="3">
        <f t="shared" si="2"/>
        <v>44840</v>
      </c>
      <c r="E100" t="s">
        <v>383</v>
      </c>
      <c r="F100" s="4">
        <f t="shared" si="3"/>
        <v>0.39930555555555558</v>
      </c>
      <c r="G100" t="s">
        <v>385</v>
      </c>
      <c r="H100" t="s">
        <v>30</v>
      </c>
      <c r="I100" t="s">
        <v>31</v>
      </c>
      <c r="J100" t="s">
        <v>44</v>
      </c>
      <c r="K100" t="s">
        <v>45</v>
      </c>
      <c r="L100" t="s">
        <v>34</v>
      </c>
      <c r="M100">
        <v>4</v>
      </c>
      <c r="N100">
        <v>4</v>
      </c>
      <c r="O100">
        <v>6</v>
      </c>
      <c r="P100">
        <v>4</v>
      </c>
      <c r="Q100">
        <v>5</v>
      </c>
      <c r="R100">
        <v>6</v>
      </c>
      <c r="S100" t="s">
        <v>69</v>
      </c>
      <c r="T100" t="s">
        <v>70</v>
      </c>
      <c r="U100" t="s">
        <v>65</v>
      </c>
      <c r="V100">
        <v>55</v>
      </c>
      <c r="W100" t="s">
        <v>38</v>
      </c>
      <c r="X100" t="s">
        <v>240</v>
      </c>
      <c r="Y100" t="s">
        <v>386</v>
      </c>
    </row>
    <row r="101" spans="1:25" x14ac:dyDescent="0.45">
      <c r="A101" t="s">
        <v>387</v>
      </c>
      <c r="B101" t="s">
        <v>25</v>
      </c>
      <c r="C101" s="3" t="s">
        <v>26</v>
      </c>
      <c r="D101" s="3">
        <f t="shared" si="2"/>
        <v>44840</v>
      </c>
      <c r="E101" t="s">
        <v>388</v>
      </c>
      <c r="F101" s="4">
        <f t="shared" si="3"/>
        <v>0.4</v>
      </c>
      <c r="G101" t="s">
        <v>389</v>
      </c>
      <c r="H101" t="s">
        <v>30</v>
      </c>
      <c r="I101" t="s">
        <v>43</v>
      </c>
      <c r="J101" t="s">
        <v>87</v>
      </c>
      <c r="K101" t="s">
        <v>390</v>
      </c>
      <c r="L101" t="s">
        <v>46</v>
      </c>
      <c r="M101">
        <v>8</v>
      </c>
      <c r="N101">
        <v>10</v>
      </c>
      <c r="O101">
        <v>8</v>
      </c>
      <c r="P101">
        <v>7</v>
      </c>
      <c r="Q101">
        <v>8</v>
      </c>
      <c r="R101">
        <v>10</v>
      </c>
      <c r="S101" t="s">
        <v>64</v>
      </c>
      <c r="T101" t="s">
        <v>36</v>
      </c>
      <c r="U101" t="s">
        <v>65</v>
      </c>
      <c r="V101">
        <v>30</v>
      </c>
      <c r="W101" t="s">
        <v>38</v>
      </c>
      <c r="X101" t="s">
        <v>240</v>
      </c>
      <c r="Y101" t="s">
        <v>39</v>
      </c>
    </row>
    <row r="102" spans="1:25" x14ac:dyDescent="0.45">
      <c r="A102" t="s">
        <v>391</v>
      </c>
      <c r="B102" t="s">
        <v>25</v>
      </c>
      <c r="C102" s="3" t="s">
        <v>26</v>
      </c>
      <c r="D102" s="3">
        <f t="shared" si="2"/>
        <v>44840</v>
      </c>
      <c r="E102" t="s">
        <v>388</v>
      </c>
      <c r="F102" s="4">
        <f t="shared" si="3"/>
        <v>0.4</v>
      </c>
      <c r="G102" t="s">
        <v>392</v>
      </c>
      <c r="H102" t="s">
        <v>30</v>
      </c>
      <c r="I102" t="s">
        <v>31</v>
      </c>
      <c r="J102" t="s">
        <v>44</v>
      </c>
      <c r="K102" t="s">
        <v>393</v>
      </c>
      <c r="L102" t="s">
        <v>34</v>
      </c>
      <c r="M102">
        <v>9</v>
      </c>
      <c r="N102">
        <v>9</v>
      </c>
      <c r="O102">
        <v>9</v>
      </c>
      <c r="P102">
        <v>9</v>
      </c>
      <c r="Q102">
        <v>7</v>
      </c>
      <c r="R102">
        <v>4</v>
      </c>
      <c r="S102" t="s">
        <v>69</v>
      </c>
      <c r="T102" t="s">
        <v>70</v>
      </c>
      <c r="U102" t="s">
        <v>37</v>
      </c>
      <c r="V102">
        <v>25</v>
      </c>
      <c r="W102" t="s">
        <v>47</v>
      </c>
      <c r="X102" t="s">
        <v>237</v>
      </c>
      <c r="Y102" t="s">
        <v>48</v>
      </c>
    </row>
    <row r="103" spans="1:25" x14ac:dyDescent="0.45">
      <c r="A103" t="s">
        <v>394</v>
      </c>
      <c r="B103" t="s">
        <v>25</v>
      </c>
      <c r="C103" s="3" t="s">
        <v>26</v>
      </c>
      <c r="D103" s="3">
        <f t="shared" si="2"/>
        <v>44840</v>
      </c>
      <c r="E103" t="s">
        <v>395</v>
      </c>
      <c r="F103" s="4">
        <f t="shared" si="3"/>
        <v>0.40069444444444446</v>
      </c>
      <c r="G103" t="s">
        <v>396</v>
      </c>
      <c r="H103" t="s">
        <v>30</v>
      </c>
      <c r="I103" t="s">
        <v>31</v>
      </c>
      <c r="J103" t="s">
        <v>94</v>
      </c>
      <c r="K103" t="s">
        <v>397</v>
      </c>
      <c r="L103" t="s">
        <v>34</v>
      </c>
      <c r="M103">
        <v>6</v>
      </c>
      <c r="N103">
        <v>9</v>
      </c>
      <c r="O103">
        <v>7</v>
      </c>
      <c r="P103">
        <v>6</v>
      </c>
      <c r="Q103">
        <v>7</v>
      </c>
      <c r="R103">
        <v>7</v>
      </c>
      <c r="S103" t="s">
        <v>85</v>
      </c>
      <c r="T103" t="s">
        <v>70</v>
      </c>
      <c r="U103" t="s">
        <v>37</v>
      </c>
      <c r="V103">
        <v>28</v>
      </c>
      <c r="W103" t="s">
        <v>38</v>
      </c>
      <c r="X103" t="s">
        <v>240</v>
      </c>
      <c r="Y103" t="s">
        <v>39</v>
      </c>
    </row>
    <row r="104" spans="1:25" x14ac:dyDescent="0.45">
      <c r="A104" t="s">
        <v>398</v>
      </c>
      <c r="B104" t="s">
        <v>25</v>
      </c>
      <c r="C104" s="3" t="s">
        <v>26</v>
      </c>
      <c r="D104" s="3">
        <f t="shared" si="2"/>
        <v>44840</v>
      </c>
      <c r="E104" t="s">
        <v>399</v>
      </c>
      <c r="F104" s="4">
        <f t="shared" si="3"/>
        <v>0.40138888888888891</v>
      </c>
      <c r="G104" t="s">
        <v>385</v>
      </c>
      <c r="H104" t="s">
        <v>400</v>
      </c>
      <c r="I104" t="s">
        <v>31</v>
      </c>
      <c r="J104" t="s">
        <v>44</v>
      </c>
      <c r="K104" t="s">
        <v>393</v>
      </c>
      <c r="L104" t="s">
        <v>34</v>
      </c>
      <c r="M104">
        <v>8</v>
      </c>
      <c r="N104">
        <v>8</v>
      </c>
      <c r="O104">
        <v>9</v>
      </c>
      <c r="P104">
        <v>9</v>
      </c>
      <c r="Q104">
        <v>10</v>
      </c>
      <c r="R104">
        <v>10</v>
      </c>
      <c r="S104" t="s">
        <v>64</v>
      </c>
      <c r="T104" t="s">
        <v>70</v>
      </c>
      <c r="U104" t="s">
        <v>37</v>
      </c>
      <c r="V104">
        <v>34</v>
      </c>
      <c r="W104" t="s">
        <v>109</v>
      </c>
      <c r="X104" t="s">
        <v>237</v>
      </c>
      <c r="Y104" t="s">
        <v>39</v>
      </c>
    </row>
    <row r="105" spans="1:25" x14ac:dyDescent="0.45">
      <c r="A105" t="s">
        <v>401</v>
      </c>
      <c r="B105" t="s">
        <v>25</v>
      </c>
      <c r="C105" s="3" t="s">
        <v>26</v>
      </c>
      <c r="D105" s="3">
        <f t="shared" si="2"/>
        <v>44840</v>
      </c>
      <c r="E105" t="s">
        <v>399</v>
      </c>
      <c r="F105" s="4">
        <f t="shared" si="3"/>
        <v>0.40138888888888891</v>
      </c>
      <c r="G105" t="s">
        <v>402</v>
      </c>
      <c r="H105" t="s">
        <v>30</v>
      </c>
      <c r="I105" t="s">
        <v>31</v>
      </c>
      <c r="J105" t="s">
        <v>53</v>
      </c>
      <c r="K105" t="s">
        <v>103</v>
      </c>
      <c r="L105" t="s">
        <v>34</v>
      </c>
      <c r="M105">
        <v>8</v>
      </c>
      <c r="N105">
        <v>10</v>
      </c>
      <c r="O105">
        <v>9</v>
      </c>
      <c r="P105">
        <v>9</v>
      </c>
      <c r="Q105">
        <v>10</v>
      </c>
      <c r="R105">
        <v>8</v>
      </c>
      <c r="S105" t="s">
        <v>85</v>
      </c>
      <c r="T105" t="s">
        <v>70</v>
      </c>
      <c r="U105" t="s">
        <v>65</v>
      </c>
      <c r="V105">
        <v>28</v>
      </c>
      <c r="W105" t="s">
        <v>403</v>
      </c>
      <c r="X105" t="s">
        <v>237</v>
      </c>
      <c r="Y105" t="s">
        <v>91</v>
      </c>
    </row>
    <row r="106" spans="1:25" x14ac:dyDescent="0.45">
      <c r="A106" t="s">
        <v>404</v>
      </c>
      <c r="B106" t="s">
        <v>25</v>
      </c>
      <c r="C106" s="3" t="s">
        <v>26</v>
      </c>
      <c r="D106" s="3">
        <f t="shared" si="2"/>
        <v>44840</v>
      </c>
      <c r="E106" t="s">
        <v>405</v>
      </c>
      <c r="F106" s="4">
        <f t="shared" si="3"/>
        <v>0.40208333333333335</v>
      </c>
      <c r="G106" t="s">
        <v>406</v>
      </c>
      <c r="H106" t="s">
        <v>123</v>
      </c>
      <c r="I106" t="s">
        <v>43</v>
      </c>
      <c r="J106" t="s">
        <v>53</v>
      </c>
      <c r="K106" t="s">
        <v>407</v>
      </c>
      <c r="L106" t="s">
        <v>376</v>
      </c>
      <c r="M106">
        <v>7</v>
      </c>
      <c r="N106">
        <v>9</v>
      </c>
      <c r="O106">
        <v>7</v>
      </c>
      <c r="P106">
        <v>8</v>
      </c>
      <c r="Q106">
        <v>8</v>
      </c>
      <c r="R106">
        <v>10</v>
      </c>
      <c r="S106" t="s">
        <v>85</v>
      </c>
      <c r="T106" t="s">
        <v>70</v>
      </c>
      <c r="U106" t="s">
        <v>37</v>
      </c>
      <c r="V106">
        <v>24</v>
      </c>
      <c r="W106" t="s">
        <v>408</v>
      </c>
      <c r="X106" t="s">
        <v>237</v>
      </c>
      <c r="Y106" t="s">
        <v>48</v>
      </c>
    </row>
    <row r="107" spans="1:25" x14ac:dyDescent="0.45">
      <c r="A107" t="s">
        <v>409</v>
      </c>
      <c r="B107" t="s">
        <v>25</v>
      </c>
      <c r="C107" s="3" t="s">
        <v>26</v>
      </c>
      <c r="D107" s="3">
        <f t="shared" si="2"/>
        <v>44840</v>
      </c>
      <c r="E107" t="s">
        <v>405</v>
      </c>
      <c r="F107" s="4">
        <f t="shared" si="3"/>
        <v>0.40208333333333335</v>
      </c>
      <c r="G107" t="s">
        <v>76</v>
      </c>
      <c r="H107" t="s">
        <v>123</v>
      </c>
      <c r="I107" t="s">
        <v>31</v>
      </c>
      <c r="J107" t="s">
        <v>53</v>
      </c>
      <c r="K107" t="s">
        <v>33</v>
      </c>
      <c r="L107" t="s">
        <v>34</v>
      </c>
      <c r="M107">
        <v>3</v>
      </c>
      <c r="N107">
        <v>7</v>
      </c>
      <c r="O107">
        <v>7</v>
      </c>
      <c r="P107">
        <v>7</v>
      </c>
      <c r="Q107">
        <v>1</v>
      </c>
      <c r="R107">
        <v>2</v>
      </c>
      <c r="S107" t="s">
        <v>69</v>
      </c>
      <c r="T107" t="s">
        <v>70</v>
      </c>
      <c r="U107" t="s">
        <v>37</v>
      </c>
      <c r="V107">
        <v>31</v>
      </c>
      <c r="W107" t="s">
        <v>38</v>
      </c>
      <c r="X107" t="s">
        <v>240</v>
      </c>
      <c r="Y107" t="s">
        <v>58</v>
      </c>
    </row>
    <row r="108" spans="1:25" x14ac:dyDescent="0.45">
      <c r="A108" t="s">
        <v>410</v>
      </c>
      <c r="B108" t="s">
        <v>25</v>
      </c>
      <c r="C108" s="3" t="s">
        <v>26</v>
      </c>
      <c r="D108" s="3">
        <f t="shared" si="2"/>
        <v>44840</v>
      </c>
      <c r="E108" t="s">
        <v>411</v>
      </c>
      <c r="F108" s="4">
        <f t="shared" si="3"/>
        <v>0.40277777777777779</v>
      </c>
      <c r="G108" t="s">
        <v>150</v>
      </c>
      <c r="H108" t="s">
        <v>30</v>
      </c>
      <c r="I108" t="s">
        <v>31</v>
      </c>
      <c r="J108" t="s">
        <v>44</v>
      </c>
      <c r="K108" t="s">
        <v>412</v>
      </c>
      <c r="L108" t="s">
        <v>413</v>
      </c>
      <c r="M108">
        <v>3</v>
      </c>
      <c r="N108">
        <v>6</v>
      </c>
      <c r="O108">
        <v>6</v>
      </c>
      <c r="P108">
        <v>6</v>
      </c>
      <c r="Q108">
        <v>4</v>
      </c>
      <c r="R108">
        <v>4</v>
      </c>
      <c r="S108" t="s">
        <v>55</v>
      </c>
      <c r="T108" t="s">
        <v>70</v>
      </c>
      <c r="U108" t="s">
        <v>37</v>
      </c>
      <c r="V108">
        <v>25</v>
      </c>
      <c r="W108" t="s">
        <v>47</v>
      </c>
      <c r="X108" t="s">
        <v>237</v>
      </c>
      <c r="Y108" t="s">
        <v>48</v>
      </c>
    </row>
    <row r="109" spans="1:25" x14ac:dyDescent="0.45">
      <c r="A109" t="s">
        <v>414</v>
      </c>
      <c r="B109" t="s">
        <v>25</v>
      </c>
      <c r="C109" s="3" t="s">
        <v>26</v>
      </c>
      <c r="D109" s="3">
        <f t="shared" si="2"/>
        <v>44840</v>
      </c>
      <c r="E109" t="s">
        <v>411</v>
      </c>
      <c r="F109" s="4">
        <f t="shared" si="3"/>
        <v>0.40277777777777779</v>
      </c>
      <c r="G109" t="s">
        <v>126</v>
      </c>
      <c r="H109" t="s">
        <v>30</v>
      </c>
      <c r="I109" t="s">
        <v>31</v>
      </c>
      <c r="J109" t="s">
        <v>32</v>
      </c>
      <c r="K109" t="s">
        <v>45</v>
      </c>
      <c r="L109" t="s">
        <v>34</v>
      </c>
      <c r="M109">
        <v>5</v>
      </c>
      <c r="N109">
        <v>1</v>
      </c>
      <c r="O109">
        <v>4</v>
      </c>
      <c r="P109">
        <v>3</v>
      </c>
      <c r="Q109">
        <v>3</v>
      </c>
      <c r="R109">
        <v>4</v>
      </c>
      <c r="S109" t="s">
        <v>55</v>
      </c>
      <c r="T109" t="s">
        <v>70</v>
      </c>
      <c r="U109" t="s">
        <v>65</v>
      </c>
      <c r="V109">
        <v>38</v>
      </c>
      <c r="W109" t="s">
        <v>38</v>
      </c>
      <c r="X109" t="s">
        <v>237</v>
      </c>
      <c r="Y109" t="s">
        <v>39</v>
      </c>
    </row>
    <row r="110" spans="1:25" x14ac:dyDescent="0.45">
      <c r="A110" t="s">
        <v>415</v>
      </c>
      <c r="B110" t="s">
        <v>25</v>
      </c>
      <c r="C110" s="3" t="s">
        <v>26</v>
      </c>
      <c r="D110" s="3">
        <f t="shared" si="2"/>
        <v>44840</v>
      </c>
      <c r="E110" t="s">
        <v>411</v>
      </c>
      <c r="F110" s="4">
        <f t="shared" si="3"/>
        <v>0.40277777777777779</v>
      </c>
      <c r="G110" t="s">
        <v>317</v>
      </c>
      <c r="H110" t="s">
        <v>30</v>
      </c>
      <c r="I110" t="s">
        <v>43</v>
      </c>
      <c r="J110" t="s">
        <v>44</v>
      </c>
      <c r="K110" t="s">
        <v>45</v>
      </c>
      <c r="L110" t="s">
        <v>34</v>
      </c>
      <c r="M110">
        <v>5</v>
      </c>
      <c r="N110">
        <v>5</v>
      </c>
      <c r="O110">
        <v>5</v>
      </c>
      <c r="P110">
        <v>5</v>
      </c>
      <c r="Q110">
        <v>4</v>
      </c>
      <c r="R110">
        <v>5</v>
      </c>
      <c r="S110" t="s">
        <v>85</v>
      </c>
      <c r="T110" t="s">
        <v>114</v>
      </c>
      <c r="U110" t="s">
        <v>37</v>
      </c>
      <c r="V110">
        <v>30</v>
      </c>
      <c r="W110" t="s">
        <v>319</v>
      </c>
      <c r="X110" t="s">
        <v>237</v>
      </c>
      <c r="Y110" t="s">
        <v>91</v>
      </c>
    </row>
    <row r="111" spans="1:25" x14ac:dyDescent="0.45">
      <c r="A111" t="s">
        <v>416</v>
      </c>
      <c r="B111" t="s">
        <v>25</v>
      </c>
      <c r="C111" s="3" t="s">
        <v>26</v>
      </c>
      <c r="D111" s="3">
        <f t="shared" si="2"/>
        <v>44840</v>
      </c>
      <c r="E111" t="s">
        <v>411</v>
      </c>
      <c r="F111" s="4">
        <f t="shared" si="3"/>
        <v>0.40277777777777779</v>
      </c>
      <c r="G111" t="s">
        <v>317</v>
      </c>
      <c r="H111" t="s">
        <v>30</v>
      </c>
      <c r="I111" t="s">
        <v>31</v>
      </c>
      <c r="J111" t="s">
        <v>53</v>
      </c>
      <c r="K111" t="s">
        <v>103</v>
      </c>
      <c r="L111" t="s">
        <v>257</v>
      </c>
      <c r="M111">
        <v>0</v>
      </c>
      <c r="N111">
        <v>0</v>
      </c>
      <c r="O111">
        <v>0</v>
      </c>
      <c r="P111">
        <v>2</v>
      </c>
      <c r="Q111">
        <v>2</v>
      </c>
      <c r="R111">
        <v>5</v>
      </c>
      <c r="S111" t="s">
        <v>85</v>
      </c>
      <c r="T111" t="s">
        <v>56</v>
      </c>
      <c r="U111" t="s">
        <v>37</v>
      </c>
      <c r="V111">
        <v>25</v>
      </c>
      <c r="W111" t="s">
        <v>147</v>
      </c>
      <c r="X111" t="s">
        <v>237</v>
      </c>
      <c r="Y111" t="s">
        <v>48</v>
      </c>
    </row>
    <row r="112" spans="1:25" x14ac:dyDescent="0.45">
      <c r="A112" t="s">
        <v>417</v>
      </c>
      <c r="B112" t="s">
        <v>25</v>
      </c>
      <c r="C112" s="3" t="s">
        <v>26</v>
      </c>
      <c r="D112" s="3">
        <f t="shared" si="2"/>
        <v>44840</v>
      </c>
      <c r="E112" t="s">
        <v>418</v>
      </c>
      <c r="F112" s="4">
        <f t="shared" si="3"/>
        <v>0.40347222222222223</v>
      </c>
      <c r="G112" t="s">
        <v>331</v>
      </c>
      <c r="H112" t="s">
        <v>30</v>
      </c>
      <c r="I112" t="s">
        <v>31</v>
      </c>
      <c r="J112" t="s">
        <v>53</v>
      </c>
      <c r="K112" t="s">
        <v>103</v>
      </c>
      <c r="L112" t="s">
        <v>34</v>
      </c>
      <c r="M112">
        <v>1</v>
      </c>
      <c r="N112">
        <v>2</v>
      </c>
      <c r="O112">
        <v>1</v>
      </c>
      <c r="P112">
        <v>5</v>
      </c>
      <c r="Q112">
        <v>6</v>
      </c>
      <c r="R112">
        <v>6</v>
      </c>
      <c r="S112" t="s">
        <v>85</v>
      </c>
      <c r="T112" t="s">
        <v>70</v>
      </c>
      <c r="U112" t="s">
        <v>65</v>
      </c>
      <c r="V112">
        <v>29</v>
      </c>
      <c r="W112" t="s">
        <v>419</v>
      </c>
      <c r="X112" t="s">
        <v>237</v>
      </c>
      <c r="Y112" t="s">
        <v>58</v>
      </c>
    </row>
    <row r="113" spans="1:25" x14ac:dyDescent="0.45">
      <c r="A113" t="s">
        <v>420</v>
      </c>
      <c r="B113" t="s">
        <v>25</v>
      </c>
      <c r="C113" s="3" t="s">
        <v>26</v>
      </c>
      <c r="D113" s="3">
        <f t="shared" si="2"/>
        <v>44840</v>
      </c>
      <c r="E113" t="s">
        <v>421</v>
      </c>
      <c r="F113" s="4">
        <f t="shared" si="3"/>
        <v>0.40555555555555556</v>
      </c>
      <c r="G113" t="s">
        <v>422</v>
      </c>
      <c r="H113" t="s">
        <v>77</v>
      </c>
      <c r="I113" t="s">
        <v>31</v>
      </c>
      <c r="J113" t="s">
        <v>63</v>
      </c>
      <c r="K113" t="s">
        <v>45</v>
      </c>
      <c r="L113" t="s">
        <v>34</v>
      </c>
      <c r="M113">
        <v>7</v>
      </c>
      <c r="N113">
        <v>5</v>
      </c>
      <c r="O113">
        <v>3</v>
      </c>
      <c r="P113">
        <v>6</v>
      </c>
      <c r="Q113">
        <v>4</v>
      </c>
      <c r="R113">
        <v>4</v>
      </c>
      <c r="S113" t="s">
        <v>69</v>
      </c>
      <c r="T113" t="s">
        <v>56</v>
      </c>
      <c r="U113" t="s">
        <v>37</v>
      </c>
      <c r="V113">
        <v>21</v>
      </c>
      <c r="W113" t="s">
        <v>423</v>
      </c>
      <c r="X113" t="s">
        <v>240</v>
      </c>
      <c r="Y113" t="s">
        <v>39</v>
      </c>
    </row>
    <row r="114" spans="1:25" x14ac:dyDescent="0.45">
      <c r="A114" t="s">
        <v>424</v>
      </c>
      <c r="B114" t="s">
        <v>25</v>
      </c>
      <c r="C114" s="3" t="s">
        <v>26</v>
      </c>
      <c r="D114" s="3">
        <f t="shared" si="2"/>
        <v>44840</v>
      </c>
      <c r="E114" t="s">
        <v>421</v>
      </c>
      <c r="F114" s="4">
        <f t="shared" si="3"/>
        <v>0.40555555555555556</v>
      </c>
      <c r="G114" t="s">
        <v>425</v>
      </c>
      <c r="H114" t="s">
        <v>30</v>
      </c>
      <c r="I114" t="s">
        <v>31</v>
      </c>
      <c r="J114" t="s">
        <v>94</v>
      </c>
      <c r="K114" t="s">
        <v>426</v>
      </c>
      <c r="L114" t="s">
        <v>84</v>
      </c>
      <c r="M114">
        <v>5</v>
      </c>
      <c r="N114">
        <v>8</v>
      </c>
      <c r="O114">
        <v>8</v>
      </c>
      <c r="P114">
        <v>7</v>
      </c>
      <c r="Q114">
        <v>6</v>
      </c>
      <c r="R114">
        <v>7</v>
      </c>
      <c r="S114" t="s">
        <v>64</v>
      </c>
      <c r="T114" t="s">
        <v>36</v>
      </c>
      <c r="U114" t="s">
        <v>65</v>
      </c>
      <c r="V114">
        <v>39</v>
      </c>
      <c r="W114" t="s">
        <v>38</v>
      </c>
      <c r="X114" t="s">
        <v>237</v>
      </c>
      <c r="Y114" t="s">
        <v>48</v>
      </c>
    </row>
    <row r="115" spans="1:25" x14ac:dyDescent="0.45">
      <c r="A115" t="s">
        <v>427</v>
      </c>
      <c r="B115" t="s">
        <v>25</v>
      </c>
      <c r="C115" s="3" t="s">
        <v>26</v>
      </c>
      <c r="D115" s="3">
        <f t="shared" si="2"/>
        <v>44840</v>
      </c>
      <c r="E115" t="s">
        <v>428</v>
      </c>
      <c r="F115" s="4">
        <f t="shared" si="3"/>
        <v>0.40625</v>
      </c>
      <c r="G115" t="s">
        <v>322</v>
      </c>
      <c r="H115" t="s">
        <v>123</v>
      </c>
      <c r="I115" t="s">
        <v>43</v>
      </c>
      <c r="J115" t="s">
        <v>53</v>
      </c>
      <c r="K115" t="s">
        <v>78</v>
      </c>
      <c r="L115" t="s">
        <v>34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</v>
      </c>
      <c r="S115" t="s">
        <v>85</v>
      </c>
      <c r="T115" t="s">
        <v>70</v>
      </c>
      <c r="U115" t="s">
        <v>37</v>
      </c>
      <c r="V115">
        <v>25</v>
      </c>
      <c r="W115" t="s">
        <v>429</v>
      </c>
      <c r="X115" t="s">
        <v>237</v>
      </c>
      <c r="Y115" t="s">
        <v>39</v>
      </c>
    </row>
    <row r="116" spans="1:25" x14ac:dyDescent="0.45">
      <c r="A116" t="s">
        <v>430</v>
      </c>
      <c r="B116" t="s">
        <v>25</v>
      </c>
      <c r="C116" s="3" t="s">
        <v>26</v>
      </c>
      <c r="D116" s="3">
        <f t="shared" si="2"/>
        <v>44840</v>
      </c>
      <c r="E116" t="s">
        <v>428</v>
      </c>
      <c r="F116" s="4">
        <f t="shared" si="3"/>
        <v>0.40625</v>
      </c>
      <c r="G116" t="s">
        <v>299</v>
      </c>
      <c r="H116" t="s">
        <v>431</v>
      </c>
      <c r="I116" t="s">
        <v>31</v>
      </c>
      <c r="J116" t="s">
        <v>87</v>
      </c>
      <c r="K116" t="s">
        <v>45</v>
      </c>
      <c r="L116" t="s">
        <v>432</v>
      </c>
      <c r="M116">
        <v>7</v>
      </c>
      <c r="N116">
        <v>9</v>
      </c>
      <c r="O116">
        <v>10</v>
      </c>
      <c r="P116">
        <v>6</v>
      </c>
      <c r="Q116">
        <v>4</v>
      </c>
      <c r="R116">
        <v>4</v>
      </c>
      <c r="S116" t="s">
        <v>85</v>
      </c>
      <c r="T116" t="s">
        <v>433</v>
      </c>
      <c r="U116" t="s">
        <v>65</v>
      </c>
      <c r="V116">
        <v>42</v>
      </c>
      <c r="W116" t="s">
        <v>38</v>
      </c>
      <c r="X116" t="s">
        <v>240</v>
      </c>
      <c r="Y116" t="s">
        <v>91</v>
      </c>
    </row>
    <row r="117" spans="1:25" x14ac:dyDescent="0.45">
      <c r="A117" t="s">
        <v>434</v>
      </c>
      <c r="B117" t="s">
        <v>25</v>
      </c>
      <c r="C117" s="3" t="s">
        <v>26</v>
      </c>
      <c r="D117" s="3">
        <f t="shared" si="2"/>
        <v>44840</v>
      </c>
      <c r="E117" t="s">
        <v>435</v>
      </c>
      <c r="F117" s="4">
        <f t="shared" si="3"/>
        <v>0.40694444444444444</v>
      </c>
      <c r="G117" t="s">
        <v>436</v>
      </c>
      <c r="H117" t="s">
        <v>30</v>
      </c>
      <c r="I117" t="s">
        <v>43</v>
      </c>
      <c r="J117" t="s">
        <v>44</v>
      </c>
      <c r="K117" t="s">
        <v>103</v>
      </c>
      <c r="L117" t="s">
        <v>46</v>
      </c>
      <c r="M117">
        <v>10</v>
      </c>
      <c r="N117">
        <v>8</v>
      </c>
      <c r="O117">
        <v>9</v>
      </c>
      <c r="P117">
        <v>10</v>
      </c>
      <c r="Q117">
        <v>10</v>
      </c>
      <c r="R117">
        <v>10</v>
      </c>
      <c r="S117" t="s">
        <v>55</v>
      </c>
      <c r="T117" t="s">
        <v>70</v>
      </c>
      <c r="U117" t="s">
        <v>37</v>
      </c>
      <c r="V117">
        <v>25</v>
      </c>
      <c r="W117" t="s">
        <v>38</v>
      </c>
      <c r="X117" t="s">
        <v>237</v>
      </c>
      <c r="Y117" t="s">
        <v>39</v>
      </c>
    </row>
    <row r="118" spans="1:25" x14ac:dyDescent="0.45">
      <c r="A118" t="s">
        <v>437</v>
      </c>
      <c r="B118" t="s">
        <v>25</v>
      </c>
      <c r="C118" s="3" t="s">
        <v>26</v>
      </c>
      <c r="D118" s="3">
        <f t="shared" si="2"/>
        <v>44840</v>
      </c>
      <c r="E118" t="s">
        <v>438</v>
      </c>
      <c r="F118" s="4">
        <f t="shared" si="3"/>
        <v>0.40763888888888888</v>
      </c>
      <c r="G118" t="s">
        <v>154</v>
      </c>
      <c r="H118" t="s">
        <v>77</v>
      </c>
      <c r="I118" t="s">
        <v>43</v>
      </c>
      <c r="J118" t="s">
        <v>87</v>
      </c>
      <c r="K118" t="s">
        <v>45</v>
      </c>
      <c r="L118" t="s">
        <v>34</v>
      </c>
      <c r="M118">
        <v>8</v>
      </c>
      <c r="N118">
        <v>7</v>
      </c>
      <c r="O118">
        <v>6</v>
      </c>
      <c r="P118">
        <v>6</v>
      </c>
      <c r="Q118">
        <v>5</v>
      </c>
      <c r="R118">
        <v>9</v>
      </c>
      <c r="S118" t="s">
        <v>85</v>
      </c>
      <c r="T118" t="s">
        <v>70</v>
      </c>
      <c r="U118" t="s">
        <v>37</v>
      </c>
      <c r="V118">
        <v>22</v>
      </c>
      <c r="W118" t="s">
        <v>38</v>
      </c>
      <c r="X118" t="s">
        <v>237</v>
      </c>
      <c r="Y118" t="s">
        <v>39</v>
      </c>
    </row>
    <row r="119" spans="1:25" x14ac:dyDescent="0.45">
      <c r="A119" t="s">
        <v>439</v>
      </c>
      <c r="B119" t="s">
        <v>25</v>
      </c>
      <c r="C119" s="3" t="s">
        <v>26</v>
      </c>
      <c r="D119" s="3">
        <f t="shared" si="2"/>
        <v>44840</v>
      </c>
      <c r="E119" t="s">
        <v>438</v>
      </c>
      <c r="F119" s="4">
        <f t="shared" si="3"/>
        <v>0.40763888888888888</v>
      </c>
      <c r="G119" t="s">
        <v>265</v>
      </c>
      <c r="H119" t="s">
        <v>30</v>
      </c>
      <c r="I119" t="s">
        <v>43</v>
      </c>
      <c r="J119" t="s">
        <v>53</v>
      </c>
      <c r="K119" t="s">
        <v>440</v>
      </c>
      <c r="L119" t="s">
        <v>34</v>
      </c>
      <c r="M119">
        <v>1</v>
      </c>
      <c r="N119">
        <v>4</v>
      </c>
      <c r="O119">
        <v>4</v>
      </c>
      <c r="P119">
        <v>3</v>
      </c>
      <c r="Q119" t="s">
        <v>28</v>
      </c>
      <c r="R119">
        <v>5</v>
      </c>
      <c r="S119" t="s">
        <v>55</v>
      </c>
      <c r="T119" t="s">
        <v>70</v>
      </c>
      <c r="U119" t="s">
        <v>37</v>
      </c>
      <c r="V119">
        <v>23</v>
      </c>
      <c r="W119" t="s">
        <v>261</v>
      </c>
      <c r="X119" t="s">
        <v>227</v>
      </c>
      <c r="Y119" t="s">
        <v>91</v>
      </c>
    </row>
    <row r="120" spans="1:25" x14ac:dyDescent="0.45">
      <c r="A120" t="s">
        <v>441</v>
      </c>
      <c r="B120" t="s">
        <v>25</v>
      </c>
      <c r="C120" s="3" t="s">
        <v>26</v>
      </c>
      <c r="D120" s="3">
        <f t="shared" si="2"/>
        <v>44840</v>
      </c>
      <c r="E120" t="s">
        <v>442</v>
      </c>
      <c r="F120" s="4">
        <f t="shared" si="3"/>
        <v>0.40833333333333333</v>
      </c>
      <c r="G120" t="s">
        <v>299</v>
      </c>
      <c r="H120" t="s">
        <v>52</v>
      </c>
      <c r="I120" t="s">
        <v>31</v>
      </c>
      <c r="J120" t="s">
        <v>44</v>
      </c>
      <c r="K120" t="s">
        <v>443</v>
      </c>
      <c r="L120" t="s">
        <v>204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 t="s">
        <v>69</v>
      </c>
      <c r="T120" t="s">
        <v>114</v>
      </c>
      <c r="U120" t="s">
        <v>37</v>
      </c>
      <c r="V120">
        <v>25</v>
      </c>
      <c r="W120" t="s">
        <v>444</v>
      </c>
      <c r="X120" t="s">
        <v>227</v>
      </c>
      <c r="Y120" t="s">
        <v>445</v>
      </c>
    </row>
    <row r="121" spans="1:25" x14ac:dyDescent="0.45">
      <c r="A121" t="s">
        <v>446</v>
      </c>
      <c r="B121" t="s">
        <v>25</v>
      </c>
      <c r="C121" s="3" t="s">
        <v>26</v>
      </c>
      <c r="D121" s="3">
        <f t="shared" si="2"/>
        <v>44840</v>
      </c>
      <c r="E121" t="s">
        <v>442</v>
      </c>
      <c r="F121" s="4">
        <f t="shared" si="3"/>
        <v>0.40833333333333333</v>
      </c>
      <c r="G121" t="s">
        <v>126</v>
      </c>
      <c r="H121" t="s">
        <v>52</v>
      </c>
      <c r="I121" t="s">
        <v>31</v>
      </c>
      <c r="J121" t="s">
        <v>94</v>
      </c>
      <c r="K121" t="s">
        <v>447</v>
      </c>
      <c r="L121" t="s">
        <v>34</v>
      </c>
      <c r="M121">
        <v>5</v>
      </c>
      <c r="N121">
        <v>7</v>
      </c>
      <c r="O121">
        <v>7</v>
      </c>
      <c r="P121">
        <v>6</v>
      </c>
      <c r="Q121">
        <v>6</v>
      </c>
      <c r="R121">
        <v>7</v>
      </c>
      <c r="S121" t="s">
        <v>85</v>
      </c>
      <c r="T121" t="s">
        <v>70</v>
      </c>
      <c r="U121" t="s">
        <v>37</v>
      </c>
      <c r="V121">
        <v>45</v>
      </c>
      <c r="W121" t="s">
        <v>47</v>
      </c>
      <c r="X121" t="s">
        <v>240</v>
      </c>
      <c r="Y121" t="s">
        <v>39</v>
      </c>
    </row>
    <row r="122" spans="1:25" x14ac:dyDescent="0.45">
      <c r="A122" t="s">
        <v>448</v>
      </c>
      <c r="B122" t="s">
        <v>25</v>
      </c>
      <c r="C122" s="3" t="s">
        <v>26</v>
      </c>
      <c r="D122" s="3">
        <f t="shared" si="2"/>
        <v>44840</v>
      </c>
      <c r="E122" t="s">
        <v>449</v>
      </c>
      <c r="F122" s="4">
        <f t="shared" si="3"/>
        <v>0.40902777777777777</v>
      </c>
      <c r="G122" t="s">
        <v>93</v>
      </c>
      <c r="H122" t="s">
        <v>30</v>
      </c>
      <c r="I122" t="s">
        <v>31</v>
      </c>
      <c r="J122" t="s">
        <v>94</v>
      </c>
      <c r="K122" t="s">
        <v>33</v>
      </c>
      <c r="L122" t="s">
        <v>450</v>
      </c>
      <c r="M122">
        <v>7</v>
      </c>
      <c r="N122">
        <v>3</v>
      </c>
      <c r="O122">
        <v>8</v>
      </c>
      <c r="P122">
        <v>6</v>
      </c>
      <c r="Q122">
        <v>8</v>
      </c>
      <c r="R122">
        <v>8</v>
      </c>
      <c r="S122" t="s">
        <v>55</v>
      </c>
      <c r="T122" t="s">
        <v>56</v>
      </c>
      <c r="U122" t="s">
        <v>37</v>
      </c>
      <c r="V122">
        <v>24</v>
      </c>
      <c r="W122" t="s">
        <v>38</v>
      </c>
      <c r="X122" t="s">
        <v>237</v>
      </c>
      <c r="Y122" t="s">
        <v>39</v>
      </c>
    </row>
    <row r="123" spans="1:25" x14ac:dyDescent="0.45">
      <c r="A123" t="s">
        <v>451</v>
      </c>
      <c r="B123" t="s">
        <v>25</v>
      </c>
      <c r="C123" s="3" t="s">
        <v>26</v>
      </c>
      <c r="D123" s="3">
        <f t="shared" si="2"/>
        <v>44840</v>
      </c>
      <c r="E123" t="s">
        <v>449</v>
      </c>
      <c r="F123" s="4">
        <f t="shared" si="3"/>
        <v>0.40902777777777777</v>
      </c>
      <c r="G123" t="s">
        <v>452</v>
      </c>
      <c r="H123" t="s">
        <v>123</v>
      </c>
      <c r="I123" t="s">
        <v>43</v>
      </c>
      <c r="J123" t="s">
        <v>53</v>
      </c>
      <c r="K123" t="s">
        <v>453</v>
      </c>
      <c r="L123" t="s">
        <v>46</v>
      </c>
      <c r="M123">
        <v>1</v>
      </c>
      <c r="N123">
        <v>9</v>
      </c>
      <c r="O123">
        <v>6</v>
      </c>
      <c r="P123">
        <v>0</v>
      </c>
      <c r="Q123">
        <v>0</v>
      </c>
      <c r="R123">
        <v>0</v>
      </c>
      <c r="S123" t="s">
        <v>69</v>
      </c>
      <c r="T123" t="s">
        <v>70</v>
      </c>
      <c r="U123" t="s">
        <v>37</v>
      </c>
      <c r="V123">
        <v>25</v>
      </c>
      <c r="W123" t="s">
        <v>38</v>
      </c>
      <c r="X123" t="s">
        <v>28</v>
      </c>
      <c r="Y123" t="s">
        <v>58</v>
      </c>
    </row>
    <row r="124" spans="1:25" x14ac:dyDescent="0.45">
      <c r="A124" t="s">
        <v>454</v>
      </c>
      <c r="B124" t="s">
        <v>25</v>
      </c>
      <c r="C124" s="3" t="s">
        <v>26</v>
      </c>
      <c r="D124" s="3">
        <f t="shared" si="2"/>
        <v>44840</v>
      </c>
      <c r="E124" t="s">
        <v>455</v>
      </c>
      <c r="F124" s="4">
        <f t="shared" si="3"/>
        <v>0.41041666666666665</v>
      </c>
      <c r="G124" t="s">
        <v>336</v>
      </c>
      <c r="H124" t="s">
        <v>30</v>
      </c>
      <c r="I124" t="s">
        <v>31</v>
      </c>
      <c r="J124" t="s">
        <v>94</v>
      </c>
      <c r="K124" t="s">
        <v>340</v>
      </c>
      <c r="L124" t="s">
        <v>34</v>
      </c>
      <c r="M124">
        <v>9</v>
      </c>
      <c r="N124">
        <v>8</v>
      </c>
      <c r="O124">
        <v>9</v>
      </c>
      <c r="P124">
        <v>9</v>
      </c>
      <c r="Q124">
        <v>8</v>
      </c>
      <c r="R124">
        <v>8</v>
      </c>
      <c r="S124" t="s">
        <v>69</v>
      </c>
      <c r="T124" t="s">
        <v>56</v>
      </c>
      <c r="U124" t="s">
        <v>37</v>
      </c>
      <c r="V124">
        <v>26</v>
      </c>
      <c r="W124" t="s">
        <v>38</v>
      </c>
      <c r="X124" t="s">
        <v>237</v>
      </c>
      <c r="Y124" t="s">
        <v>39</v>
      </c>
    </row>
    <row r="125" spans="1:25" x14ac:dyDescent="0.45">
      <c r="A125" t="s">
        <v>456</v>
      </c>
      <c r="B125" t="s">
        <v>25</v>
      </c>
      <c r="C125" s="3" t="s">
        <v>26</v>
      </c>
      <c r="D125" s="3">
        <f t="shared" si="2"/>
        <v>44840</v>
      </c>
      <c r="E125" t="s">
        <v>457</v>
      </c>
      <c r="F125" s="4">
        <f t="shared" si="3"/>
        <v>0.41249999999999998</v>
      </c>
      <c r="G125" t="s">
        <v>333</v>
      </c>
      <c r="H125" t="s">
        <v>30</v>
      </c>
      <c r="I125" t="s">
        <v>43</v>
      </c>
      <c r="J125" t="s">
        <v>44</v>
      </c>
      <c r="K125" t="s">
        <v>103</v>
      </c>
      <c r="L125" t="s">
        <v>46</v>
      </c>
      <c r="M125">
        <v>4</v>
      </c>
      <c r="N125">
        <v>7</v>
      </c>
      <c r="O125">
        <v>8</v>
      </c>
      <c r="P125">
        <v>8</v>
      </c>
      <c r="Q125">
        <v>5</v>
      </c>
      <c r="R125">
        <v>7</v>
      </c>
      <c r="S125" t="s">
        <v>55</v>
      </c>
      <c r="T125" t="s">
        <v>70</v>
      </c>
      <c r="U125" t="s">
        <v>37</v>
      </c>
      <c r="V125">
        <v>23</v>
      </c>
      <c r="W125" t="s">
        <v>47</v>
      </c>
      <c r="X125" t="s">
        <v>237</v>
      </c>
      <c r="Y125" t="s">
        <v>48</v>
      </c>
    </row>
    <row r="126" spans="1:25" x14ac:dyDescent="0.45">
      <c r="A126" t="s">
        <v>458</v>
      </c>
      <c r="B126" t="s">
        <v>25</v>
      </c>
      <c r="C126" s="3" t="s">
        <v>26</v>
      </c>
      <c r="D126" s="3">
        <f t="shared" si="2"/>
        <v>44840</v>
      </c>
      <c r="E126" t="s">
        <v>459</v>
      </c>
      <c r="F126" s="4">
        <f t="shared" si="3"/>
        <v>0.41319444444444442</v>
      </c>
      <c r="G126" t="s">
        <v>171</v>
      </c>
      <c r="H126" t="s">
        <v>123</v>
      </c>
      <c r="I126" t="s">
        <v>31</v>
      </c>
      <c r="J126" t="s">
        <v>53</v>
      </c>
      <c r="K126" t="s">
        <v>460</v>
      </c>
      <c r="L126" t="s">
        <v>34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3</v>
      </c>
      <c r="S126" t="s">
        <v>69</v>
      </c>
      <c r="T126" t="s">
        <v>36</v>
      </c>
      <c r="U126" t="s">
        <v>65</v>
      </c>
      <c r="V126">
        <v>42</v>
      </c>
      <c r="W126" t="s">
        <v>109</v>
      </c>
      <c r="X126" t="s">
        <v>240</v>
      </c>
      <c r="Y126" t="s">
        <v>39</v>
      </c>
    </row>
    <row r="127" spans="1:25" x14ac:dyDescent="0.45">
      <c r="A127" t="s">
        <v>461</v>
      </c>
      <c r="B127" t="s">
        <v>25</v>
      </c>
      <c r="C127" s="3" t="s">
        <v>26</v>
      </c>
      <c r="D127" s="3">
        <f t="shared" si="2"/>
        <v>44840</v>
      </c>
      <c r="E127" t="s">
        <v>462</v>
      </c>
      <c r="F127" s="4">
        <f t="shared" si="3"/>
        <v>0.41388888888888886</v>
      </c>
      <c r="G127" t="s">
        <v>42</v>
      </c>
      <c r="H127" t="s">
        <v>463</v>
      </c>
      <c r="I127" t="s">
        <v>31</v>
      </c>
      <c r="J127" t="s">
        <v>44</v>
      </c>
      <c r="K127" t="s">
        <v>108</v>
      </c>
      <c r="L127" t="s">
        <v>464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 t="s">
        <v>35</v>
      </c>
      <c r="T127" t="s">
        <v>56</v>
      </c>
      <c r="U127" t="s">
        <v>65</v>
      </c>
      <c r="V127">
        <v>42</v>
      </c>
      <c r="W127" t="s">
        <v>38</v>
      </c>
      <c r="X127" t="s">
        <v>237</v>
      </c>
      <c r="Y127" t="s">
        <v>58</v>
      </c>
    </row>
    <row r="128" spans="1:25" x14ac:dyDescent="0.45">
      <c r="A128" t="s">
        <v>465</v>
      </c>
      <c r="B128" t="s">
        <v>25</v>
      </c>
      <c r="C128" s="3" t="s">
        <v>26</v>
      </c>
      <c r="D128" s="3">
        <f t="shared" si="2"/>
        <v>44840</v>
      </c>
      <c r="E128" t="s">
        <v>466</v>
      </c>
      <c r="F128" s="4">
        <f t="shared" si="3"/>
        <v>0.41458333333333336</v>
      </c>
      <c r="G128" t="s">
        <v>467</v>
      </c>
      <c r="H128" t="s">
        <v>266</v>
      </c>
      <c r="I128" t="s">
        <v>43</v>
      </c>
      <c r="J128" t="s">
        <v>53</v>
      </c>
      <c r="K128" t="s">
        <v>103</v>
      </c>
      <c r="L128" t="s">
        <v>34</v>
      </c>
      <c r="M128">
        <v>0</v>
      </c>
      <c r="N128">
        <v>6</v>
      </c>
      <c r="O128">
        <v>5</v>
      </c>
      <c r="P128">
        <v>5</v>
      </c>
      <c r="Q128">
        <v>3</v>
      </c>
      <c r="R128">
        <v>1</v>
      </c>
      <c r="S128" t="s">
        <v>85</v>
      </c>
      <c r="T128" t="s">
        <v>70</v>
      </c>
      <c r="U128" t="s">
        <v>37</v>
      </c>
      <c r="V128">
        <v>25</v>
      </c>
      <c r="W128" t="s">
        <v>147</v>
      </c>
      <c r="X128" t="s">
        <v>240</v>
      </c>
      <c r="Y128" t="s">
        <v>48</v>
      </c>
    </row>
    <row r="129" spans="1:25" x14ac:dyDescent="0.45">
      <c r="A129" t="s">
        <v>468</v>
      </c>
      <c r="B129" t="s">
        <v>25</v>
      </c>
      <c r="C129" s="3" t="s">
        <v>26</v>
      </c>
      <c r="D129" s="3">
        <f t="shared" si="2"/>
        <v>44840</v>
      </c>
      <c r="E129" t="s">
        <v>469</v>
      </c>
      <c r="F129" s="4">
        <f t="shared" si="3"/>
        <v>0.4152777777777778</v>
      </c>
      <c r="G129" t="s">
        <v>470</v>
      </c>
      <c r="H129" t="s">
        <v>30</v>
      </c>
      <c r="I129" t="s">
        <v>31</v>
      </c>
      <c r="J129" t="s">
        <v>87</v>
      </c>
      <c r="K129" t="s">
        <v>103</v>
      </c>
      <c r="L129" t="s">
        <v>46</v>
      </c>
      <c r="M129">
        <v>8</v>
      </c>
      <c r="N129">
        <v>10</v>
      </c>
      <c r="O129">
        <v>10</v>
      </c>
      <c r="P129">
        <v>10</v>
      </c>
      <c r="Q129">
        <v>2</v>
      </c>
      <c r="R129">
        <v>7</v>
      </c>
      <c r="S129" t="s">
        <v>55</v>
      </c>
      <c r="T129" t="s">
        <v>36</v>
      </c>
      <c r="U129" t="s">
        <v>37</v>
      </c>
      <c r="V129">
        <v>38</v>
      </c>
      <c r="W129" t="s">
        <v>38</v>
      </c>
      <c r="X129" t="s">
        <v>240</v>
      </c>
      <c r="Y129" t="s">
        <v>39</v>
      </c>
    </row>
    <row r="130" spans="1:25" x14ac:dyDescent="0.45">
      <c r="A130" t="s">
        <v>471</v>
      </c>
      <c r="B130" t="s">
        <v>25</v>
      </c>
      <c r="C130" s="3" t="s">
        <v>26</v>
      </c>
      <c r="D130" s="3">
        <f t="shared" si="2"/>
        <v>44840</v>
      </c>
      <c r="E130" t="s">
        <v>469</v>
      </c>
      <c r="F130" s="4">
        <f t="shared" si="3"/>
        <v>0.4152777777777778</v>
      </c>
      <c r="G130" t="s">
        <v>472</v>
      </c>
      <c r="H130" t="s">
        <v>473</v>
      </c>
      <c r="I130" t="s">
        <v>43</v>
      </c>
      <c r="J130" t="s">
        <v>53</v>
      </c>
      <c r="K130" t="s">
        <v>103</v>
      </c>
      <c r="L130" t="s">
        <v>34</v>
      </c>
      <c r="M130">
        <v>5</v>
      </c>
      <c r="N130">
        <v>6</v>
      </c>
      <c r="O130">
        <v>6</v>
      </c>
      <c r="P130">
        <v>6</v>
      </c>
      <c r="Q130">
        <v>6</v>
      </c>
      <c r="R130">
        <v>4</v>
      </c>
      <c r="S130" t="s">
        <v>55</v>
      </c>
      <c r="T130" t="s">
        <v>70</v>
      </c>
      <c r="U130" t="s">
        <v>37</v>
      </c>
      <c r="V130">
        <v>24</v>
      </c>
      <c r="W130" t="s">
        <v>403</v>
      </c>
      <c r="X130" t="s">
        <v>237</v>
      </c>
      <c r="Y130" t="s">
        <v>91</v>
      </c>
    </row>
    <row r="131" spans="1:25" x14ac:dyDescent="0.45">
      <c r="A131" t="s">
        <v>474</v>
      </c>
      <c r="B131" t="s">
        <v>25</v>
      </c>
      <c r="C131" s="3" t="s">
        <v>26</v>
      </c>
      <c r="D131" s="3">
        <f t="shared" ref="D131:D194" si="4">DATEVALUE(C131)</f>
        <v>44840</v>
      </c>
      <c r="E131" t="s">
        <v>475</v>
      </c>
      <c r="F131" s="4">
        <f t="shared" ref="F131:F194" si="5">TIMEVALUE(E131)</f>
        <v>0.41736111111111113</v>
      </c>
      <c r="G131" t="s">
        <v>171</v>
      </c>
      <c r="H131" t="s">
        <v>30</v>
      </c>
      <c r="I131" t="s">
        <v>31</v>
      </c>
      <c r="J131" t="s">
        <v>94</v>
      </c>
      <c r="K131" t="s">
        <v>108</v>
      </c>
      <c r="L131" t="s">
        <v>46</v>
      </c>
      <c r="M131">
        <v>7</v>
      </c>
      <c r="N131">
        <v>10</v>
      </c>
      <c r="O131">
        <v>10</v>
      </c>
      <c r="P131">
        <v>10</v>
      </c>
      <c r="Q131">
        <v>8</v>
      </c>
      <c r="R131">
        <v>10</v>
      </c>
      <c r="S131" t="s">
        <v>85</v>
      </c>
      <c r="T131" t="s">
        <v>56</v>
      </c>
      <c r="U131" t="s">
        <v>37</v>
      </c>
      <c r="V131">
        <v>28</v>
      </c>
      <c r="W131" t="s">
        <v>38</v>
      </c>
      <c r="X131" t="s">
        <v>237</v>
      </c>
      <c r="Y131" t="s">
        <v>39</v>
      </c>
    </row>
    <row r="132" spans="1:25" x14ac:dyDescent="0.45">
      <c r="A132" t="s">
        <v>476</v>
      </c>
      <c r="B132" t="s">
        <v>25</v>
      </c>
      <c r="C132" s="3" t="s">
        <v>26</v>
      </c>
      <c r="D132" s="3">
        <f t="shared" si="4"/>
        <v>44840</v>
      </c>
      <c r="E132" t="s">
        <v>477</v>
      </c>
      <c r="F132" s="4">
        <f t="shared" si="5"/>
        <v>0.41875000000000001</v>
      </c>
      <c r="G132" t="s">
        <v>119</v>
      </c>
      <c r="H132" t="s">
        <v>30</v>
      </c>
      <c r="I132" t="s">
        <v>43</v>
      </c>
      <c r="J132" t="s">
        <v>44</v>
      </c>
      <c r="K132" t="s">
        <v>33</v>
      </c>
      <c r="L132" t="s">
        <v>34</v>
      </c>
      <c r="M132">
        <v>1</v>
      </c>
      <c r="N132">
        <v>2</v>
      </c>
      <c r="O132">
        <v>8</v>
      </c>
      <c r="P132">
        <v>7</v>
      </c>
      <c r="Q132">
        <v>0</v>
      </c>
      <c r="R132">
        <v>0</v>
      </c>
      <c r="S132" t="s">
        <v>69</v>
      </c>
      <c r="T132" t="s">
        <v>70</v>
      </c>
      <c r="U132" t="s">
        <v>37</v>
      </c>
      <c r="V132">
        <v>21</v>
      </c>
      <c r="W132" t="s">
        <v>38</v>
      </c>
      <c r="X132" t="s">
        <v>237</v>
      </c>
      <c r="Y132" t="s">
        <v>48</v>
      </c>
    </row>
    <row r="133" spans="1:25" x14ac:dyDescent="0.45">
      <c r="A133" t="s">
        <v>478</v>
      </c>
      <c r="B133" t="s">
        <v>25</v>
      </c>
      <c r="C133" s="3" t="s">
        <v>26</v>
      </c>
      <c r="D133" s="3">
        <f t="shared" si="4"/>
        <v>44840</v>
      </c>
      <c r="E133" t="s">
        <v>477</v>
      </c>
      <c r="F133" s="4">
        <f t="shared" si="5"/>
        <v>0.41875000000000001</v>
      </c>
      <c r="G133" t="s">
        <v>479</v>
      </c>
      <c r="H133" t="s">
        <v>30</v>
      </c>
      <c r="I133" t="s">
        <v>31</v>
      </c>
      <c r="J133" t="s">
        <v>32</v>
      </c>
      <c r="K133" t="s">
        <v>33</v>
      </c>
      <c r="L133" t="s">
        <v>46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 t="s">
        <v>64</v>
      </c>
      <c r="T133" t="s">
        <v>114</v>
      </c>
      <c r="U133" t="s">
        <v>37</v>
      </c>
      <c r="V133">
        <v>39</v>
      </c>
      <c r="W133" t="s">
        <v>38</v>
      </c>
      <c r="X133" t="s">
        <v>240</v>
      </c>
      <c r="Y133" t="s">
        <v>39</v>
      </c>
    </row>
    <row r="134" spans="1:25" x14ac:dyDescent="0.45">
      <c r="A134" t="s">
        <v>480</v>
      </c>
      <c r="B134" t="s">
        <v>25</v>
      </c>
      <c r="C134" s="3" t="s">
        <v>26</v>
      </c>
      <c r="D134" s="3">
        <f t="shared" si="4"/>
        <v>44840</v>
      </c>
      <c r="E134" t="s">
        <v>481</v>
      </c>
      <c r="F134" s="4">
        <f t="shared" si="5"/>
        <v>0.4201388888888889</v>
      </c>
      <c r="G134" t="s">
        <v>482</v>
      </c>
      <c r="H134" t="s">
        <v>30</v>
      </c>
      <c r="I134" t="s">
        <v>31</v>
      </c>
      <c r="J134" t="s">
        <v>53</v>
      </c>
      <c r="K134" t="s">
        <v>103</v>
      </c>
      <c r="L134" t="s">
        <v>34</v>
      </c>
      <c r="M134">
        <v>4</v>
      </c>
      <c r="N134">
        <v>5</v>
      </c>
      <c r="O134">
        <v>5</v>
      </c>
      <c r="P134">
        <v>5</v>
      </c>
      <c r="Q134">
        <v>6</v>
      </c>
      <c r="R134">
        <v>8</v>
      </c>
      <c r="S134" t="s">
        <v>69</v>
      </c>
      <c r="T134" t="s">
        <v>56</v>
      </c>
      <c r="U134" t="s">
        <v>37</v>
      </c>
      <c r="V134">
        <v>23</v>
      </c>
      <c r="W134" t="s">
        <v>483</v>
      </c>
      <c r="X134" t="s">
        <v>237</v>
      </c>
      <c r="Y134" t="s">
        <v>48</v>
      </c>
    </row>
    <row r="135" spans="1:25" x14ac:dyDescent="0.45">
      <c r="A135" t="s">
        <v>484</v>
      </c>
      <c r="B135" t="s">
        <v>25</v>
      </c>
      <c r="C135" s="3" t="s">
        <v>26</v>
      </c>
      <c r="D135" s="3">
        <f t="shared" si="4"/>
        <v>44840</v>
      </c>
      <c r="E135" t="s">
        <v>481</v>
      </c>
      <c r="F135" s="4">
        <f t="shared" si="5"/>
        <v>0.4201388888888889</v>
      </c>
      <c r="G135" t="s">
        <v>485</v>
      </c>
      <c r="H135" t="s">
        <v>30</v>
      </c>
      <c r="I135" t="s">
        <v>43</v>
      </c>
      <c r="J135" t="s">
        <v>53</v>
      </c>
      <c r="K135" t="s">
        <v>486</v>
      </c>
      <c r="L135" t="s">
        <v>46</v>
      </c>
      <c r="M135">
        <v>1</v>
      </c>
      <c r="N135">
        <v>6</v>
      </c>
      <c r="O135">
        <v>4</v>
      </c>
      <c r="P135">
        <v>3</v>
      </c>
      <c r="Q135">
        <v>5</v>
      </c>
      <c r="R135">
        <v>6</v>
      </c>
      <c r="S135" t="s">
        <v>85</v>
      </c>
      <c r="T135" t="s">
        <v>56</v>
      </c>
      <c r="U135" t="s">
        <v>65</v>
      </c>
      <c r="V135">
        <v>23</v>
      </c>
      <c r="W135" t="s">
        <v>199</v>
      </c>
      <c r="X135" t="s">
        <v>237</v>
      </c>
      <c r="Y135" t="s">
        <v>39</v>
      </c>
    </row>
    <row r="136" spans="1:25" x14ac:dyDescent="0.45">
      <c r="A136" t="s">
        <v>487</v>
      </c>
      <c r="B136" t="s">
        <v>25</v>
      </c>
      <c r="C136" s="3" t="s">
        <v>26</v>
      </c>
      <c r="D136" s="3">
        <f t="shared" si="4"/>
        <v>44840</v>
      </c>
      <c r="E136" t="s">
        <v>481</v>
      </c>
      <c r="F136" s="4">
        <f t="shared" si="5"/>
        <v>0.4201388888888889</v>
      </c>
      <c r="G136" t="s">
        <v>202</v>
      </c>
      <c r="H136" t="s">
        <v>30</v>
      </c>
      <c r="I136" t="s">
        <v>31</v>
      </c>
      <c r="J136" t="s">
        <v>94</v>
      </c>
      <c r="K136" t="s">
        <v>426</v>
      </c>
      <c r="L136" t="s">
        <v>46</v>
      </c>
      <c r="M136">
        <v>8</v>
      </c>
      <c r="N136">
        <v>9</v>
      </c>
      <c r="O136">
        <v>8</v>
      </c>
      <c r="P136">
        <v>7</v>
      </c>
      <c r="Q136">
        <v>7</v>
      </c>
      <c r="R136">
        <v>8</v>
      </c>
      <c r="S136" t="s">
        <v>85</v>
      </c>
      <c r="T136" t="s">
        <v>56</v>
      </c>
      <c r="U136" t="s">
        <v>37</v>
      </c>
      <c r="V136">
        <v>30</v>
      </c>
      <c r="W136" t="s">
        <v>38</v>
      </c>
      <c r="X136" t="s">
        <v>240</v>
      </c>
      <c r="Y136" t="s">
        <v>39</v>
      </c>
    </row>
    <row r="137" spans="1:25" x14ac:dyDescent="0.45">
      <c r="A137" t="s">
        <v>488</v>
      </c>
      <c r="B137" t="s">
        <v>25</v>
      </c>
      <c r="C137" s="3" t="s">
        <v>26</v>
      </c>
      <c r="D137" s="3">
        <f t="shared" si="4"/>
        <v>44840</v>
      </c>
      <c r="E137" t="s">
        <v>489</v>
      </c>
      <c r="F137" s="4">
        <f t="shared" si="5"/>
        <v>0.42083333333333334</v>
      </c>
      <c r="G137" t="s">
        <v>490</v>
      </c>
      <c r="H137" t="s">
        <v>30</v>
      </c>
      <c r="I137" t="s">
        <v>43</v>
      </c>
      <c r="J137" t="s">
        <v>44</v>
      </c>
      <c r="K137" t="s">
        <v>491</v>
      </c>
      <c r="L137" t="s">
        <v>34</v>
      </c>
      <c r="M137">
        <v>2</v>
      </c>
      <c r="N137">
        <v>6</v>
      </c>
      <c r="O137">
        <v>2</v>
      </c>
      <c r="P137">
        <v>3</v>
      </c>
      <c r="Q137">
        <v>2</v>
      </c>
      <c r="R137">
        <v>2</v>
      </c>
      <c r="S137" t="s">
        <v>55</v>
      </c>
      <c r="T137" t="s">
        <v>70</v>
      </c>
      <c r="U137" t="s">
        <v>37</v>
      </c>
      <c r="V137">
        <v>26</v>
      </c>
      <c r="W137" t="s">
        <v>492</v>
      </c>
      <c r="X137" t="s">
        <v>240</v>
      </c>
      <c r="Y137" t="s">
        <v>39</v>
      </c>
    </row>
    <row r="138" spans="1:25" x14ac:dyDescent="0.45">
      <c r="A138" t="s">
        <v>493</v>
      </c>
      <c r="B138" t="s">
        <v>25</v>
      </c>
      <c r="C138" s="3" t="s">
        <v>26</v>
      </c>
      <c r="D138" s="3">
        <f t="shared" si="4"/>
        <v>44840</v>
      </c>
      <c r="E138" t="s">
        <v>489</v>
      </c>
      <c r="F138" s="4">
        <f t="shared" si="5"/>
        <v>0.42083333333333334</v>
      </c>
      <c r="G138" t="s">
        <v>51</v>
      </c>
      <c r="H138" t="s">
        <v>30</v>
      </c>
      <c r="I138" t="s">
        <v>31</v>
      </c>
      <c r="J138" t="s">
        <v>44</v>
      </c>
      <c r="K138" t="s">
        <v>33</v>
      </c>
      <c r="L138" t="s">
        <v>46</v>
      </c>
      <c r="M138">
        <v>3</v>
      </c>
      <c r="N138">
        <v>6</v>
      </c>
      <c r="O138">
        <v>4</v>
      </c>
      <c r="P138">
        <v>6</v>
      </c>
      <c r="Q138">
        <v>4</v>
      </c>
      <c r="R138">
        <v>6</v>
      </c>
      <c r="S138" t="s">
        <v>85</v>
      </c>
      <c r="T138" t="s">
        <v>70</v>
      </c>
      <c r="U138" t="s">
        <v>37</v>
      </c>
      <c r="V138">
        <v>37</v>
      </c>
      <c r="W138" t="s">
        <v>38</v>
      </c>
      <c r="X138" t="s">
        <v>237</v>
      </c>
      <c r="Y138" t="s">
        <v>39</v>
      </c>
    </row>
    <row r="139" spans="1:25" x14ac:dyDescent="0.45">
      <c r="A139" t="s">
        <v>494</v>
      </c>
      <c r="B139" t="s">
        <v>25</v>
      </c>
      <c r="C139" s="3" t="s">
        <v>26</v>
      </c>
      <c r="D139" s="3">
        <f t="shared" si="4"/>
        <v>44840</v>
      </c>
      <c r="E139" t="s">
        <v>495</v>
      </c>
      <c r="F139" s="4">
        <f t="shared" si="5"/>
        <v>0.42222222222222222</v>
      </c>
      <c r="G139" t="s">
        <v>344</v>
      </c>
      <c r="H139" t="s">
        <v>30</v>
      </c>
      <c r="I139" t="s">
        <v>31</v>
      </c>
      <c r="J139" t="s">
        <v>94</v>
      </c>
      <c r="K139" t="s">
        <v>33</v>
      </c>
      <c r="L139" t="s">
        <v>34</v>
      </c>
      <c r="M139">
        <v>3</v>
      </c>
      <c r="N139">
        <v>5</v>
      </c>
      <c r="O139">
        <v>4</v>
      </c>
      <c r="P139">
        <v>5</v>
      </c>
      <c r="Q139">
        <v>4</v>
      </c>
      <c r="R139">
        <v>4</v>
      </c>
      <c r="S139" t="s">
        <v>85</v>
      </c>
      <c r="T139" t="s">
        <v>70</v>
      </c>
      <c r="U139" t="s">
        <v>65</v>
      </c>
      <c r="V139">
        <v>31</v>
      </c>
      <c r="W139" t="s">
        <v>38</v>
      </c>
      <c r="X139" t="s">
        <v>237</v>
      </c>
      <c r="Y139" t="s">
        <v>39</v>
      </c>
    </row>
    <row r="140" spans="1:25" x14ac:dyDescent="0.45">
      <c r="A140" t="s">
        <v>496</v>
      </c>
      <c r="B140" t="s">
        <v>25</v>
      </c>
      <c r="C140" s="3" t="s">
        <v>26</v>
      </c>
      <c r="D140" s="3">
        <f t="shared" si="4"/>
        <v>44840</v>
      </c>
      <c r="E140" t="s">
        <v>497</v>
      </c>
      <c r="F140" s="4">
        <f t="shared" si="5"/>
        <v>0.42430555555555555</v>
      </c>
      <c r="G140" t="s">
        <v>202</v>
      </c>
      <c r="H140" t="s">
        <v>30</v>
      </c>
      <c r="I140" t="s">
        <v>31</v>
      </c>
      <c r="J140" t="s">
        <v>53</v>
      </c>
      <c r="K140" t="s">
        <v>45</v>
      </c>
      <c r="L140" t="s">
        <v>257</v>
      </c>
      <c r="M140">
        <v>5</v>
      </c>
      <c r="N140">
        <v>2</v>
      </c>
      <c r="O140">
        <v>4</v>
      </c>
      <c r="P140">
        <v>3</v>
      </c>
      <c r="Q140">
        <v>3</v>
      </c>
      <c r="R140">
        <v>3</v>
      </c>
      <c r="S140" t="s">
        <v>69</v>
      </c>
      <c r="T140" t="s">
        <v>56</v>
      </c>
      <c r="U140" t="s">
        <v>65</v>
      </c>
      <c r="V140">
        <v>25</v>
      </c>
      <c r="W140" t="s">
        <v>247</v>
      </c>
      <c r="X140" t="s">
        <v>237</v>
      </c>
      <c r="Y140" t="s">
        <v>58</v>
      </c>
    </row>
    <row r="141" spans="1:25" x14ac:dyDescent="0.45">
      <c r="A141" t="s">
        <v>498</v>
      </c>
      <c r="B141" t="s">
        <v>25</v>
      </c>
      <c r="C141" s="3" t="s">
        <v>26</v>
      </c>
      <c r="D141" s="3">
        <f t="shared" si="4"/>
        <v>44840</v>
      </c>
      <c r="E141" t="s">
        <v>499</v>
      </c>
      <c r="F141" s="4">
        <f t="shared" si="5"/>
        <v>0.42499999999999999</v>
      </c>
      <c r="G141" t="s">
        <v>265</v>
      </c>
      <c r="H141" t="s">
        <v>30</v>
      </c>
      <c r="I141" t="s">
        <v>31</v>
      </c>
      <c r="J141" t="s">
        <v>53</v>
      </c>
      <c r="K141" t="s">
        <v>33</v>
      </c>
      <c r="L141" t="s">
        <v>34</v>
      </c>
      <c r="M141">
        <v>2</v>
      </c>
      <c r="N141">
        <v>6</v>
      </c>
      <c r="O141">
        <v>6</v>
      </c>
      <c r="P141">
        <v>5</v>
      </c>
      <c r="Q141">
        <v>4</v>
      </c>
      <c r="R141">
        <v>5</v>
      </c>
      <c r="S141" t="s">
        <v>55</v>
      </c>
      <c r="T141" t="s">
        <v>70</v>
      </c>
      <c r="U141" t="s">
        <v>65</v>
      </c>
      <c r="V141">
        <v>26</v>
      </c>
      <c r="W141" t="s">
        <v>500</v>
      </c>
      <c r="X141" t="s">
        <v>237</v>
      </c>
      <c r="Y141" t="s">
        <v>39</v>
      </c>
    </row>
    <row r="142" spans="1:25" x14ac:dyDescent="0.45">
      <c r="A142" t="s">
        <v>501</v>
      </c>
      <c r="B142" t="s">
        <v>25</v>
      </c>
      <c r="C142" s="3" t="s">
        <v>26</v>
      </c>
      <c r="D142" s="3">
        <f t="shared" si="4"/>
        <v>44840</v>
      </c>
      <c r="E142" t="s">
        <v>502</v>
      </c>
      <c r="F142" s="4">
        <f t="shared" si="5"/>
        <v>0.42569444444444443</v>
      </c>
      <c r="G142" t="s">
        <v>297</v>
      </c>
      <c r="H142" t="s">
        <v>30</v>
      </c>
      <c r="I142" t="s">
        <v>31</v>
      </c>
      <c r="J142" t="s">
        <v>94</v>
      </c>
      <c r="K142" t="s">
        <v>33</v>
      </c>
      <c r="L142" t="s">
        <v>84</v>
      </c>
      <c r="M142">
        <v>7</v>
      </c>
      <c r="N142">
        <v>8</v>
      </c>
      <c r="O142">
        <v>8</v>
      </c>
      <c r="P142">
        <v>8</v>
      </c>
      <c r="Q142">
        <v>8</v>
      </c>
      <c r="R142">
        <v>7</v>
      </c>
      <c r="S142" t="s">
        <v>64</v>
      </c>
      <c r="T142" t="s">
        <v>70</v>
      </c>
      <c r="U142" t="s">
        <v>37</v>
      </c>
      <c r="V142">
        <v>30</v>
      </c>
      <c r="W142" t="s">
        <v>38</v>
      </c>
      <c r="X142" t="s">
        <v>237</v>
      </c>
      <c r="Y142" t="s">
        <v>39</v>
      </c>
    </row>
    <row r="143" spans="1:25" x14ac:dyDescent="0.45">
      <c r="A143" t="s">
        <v>503</v>
      </c>
      <c r="B143" t="s">
        <v>25</v>
      </c>
      <c r="C143" s="3" t="s">
        <v>26</v>
      </c>
      <c r="D143" s="3">
        <f t="shared" si="4"/>
        <v>44840</v>
      </c>
      <c r="E143" t="s">
        <v>502</v>
      </c>
      <c r="F143" s="4">
        <f t="shared" si="5"/>
        <v>0.42569444444444443</v>
      </c>
      <c r="G143" t="s">
        <v>504</v>
      </c>
      <c r="H143" t="s">
        <v>30</v>
      </c>
      <c r="I143" t="s">
        <v>31</v>
      </c>
      <c r="J143" t="s">
        <v>94</v>
      </c>
      <c r="K143" t="s">
        <v>103</v>
      </c>
      <c r="L143" t="s">
        <v>34</v>
      </c>
      <c r="M143">
        <v>9</v>
      </c>
      <c r="N143">
        <v>10</v>
      </c>
      <c r="O143">
        <v>10</v>
      </c>
      <c r="P143">
        <v>10</v>
      </c>
      <c r="Q143">
        <v>7</v>
      </c>
      <c r="R143">
        <v>9</v>
      </c>
      <c r="S143" t="s">
        <v>85</v>
      </c>
      <c r="T143" t="s">
        <v>70</v>
      </c>
      <c r="U143" t="s">
        <v>65</v>
      </c>
      <c r="V143">
        <v>39</v>
      </c>
      <c r="W143" t="s">
        <v>38</v>
      </c>
      <c r="X143" t="s">
        <v>237</v>
      </c>
      <c r="Y143" t="s">
        <v>58</v>
      </c>
    </row>
    <row r="144" spans="1:25" x14ac:dyDescent="0.45">
      <c r="A144" t="s">
        <v>505</v>
      </c>
      <c r="B144" t="s">
        <v>25</v>
      </c>
      <c r="C144" s="3" t="s">
        <v>26</v>
      </c>
      <c r="D144" s="3">
        <f t="shared" si="4"/>
        <v>44840</v>
      </c>
      <c r="E144" t="s">
        <v>506</v>
      </c>
      <c r="F144" s="4">
        <f t="shared" si="5"/>
        <v>0.42777777777777776</v>
      </c>
      <c r="G144" t="s">
        <v>507</v>
      </c>
      <c r="H144" t="s">
        <v>508</v>
      </c>
      <c r="I144" t="s">
        <v>43</v>
      </c>
      <c r="J144" t="s">
        <v>53</v>
      </c>
      <c r="K144" t="s">
        <v>108</v>
      </c>
      <c r="L144" t="s">
        <v>34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2</v>
      </c>
      <c r="S144" t="s">
        <v>55</v>
      </c>
      <c r="T144" t="s">
        <v>56</v>
      </c>
      <c r="U144" t="s">
        <v>65</v>
      </c>
      <c r="V144">
        <v>28</v>
      </c>
      <c r="W144" t="s">
        <v>147</v>
      </c>
      <c r="X144" t="s">
        <v>240</v>
      </c>
      <c r="Y144" t="s">
        <v>48</v>
      </c>
    </row>
    <row r="145" spans="1:25" x14ac:dyDescent="0.45">
      <c r="A145" t="s">
        <v>509</v>
      </c>
      <c r="B145" t="s">
        <v>25</v>
      </c>
      <c r="C145" s="3" t="s">
        <v>26</v>
      </c>
      <c r="D145" s="3">
        <f t="shared" si="4"/>
        <v>44840</v>
      </c>
      <c r="E145" t="s">
        <v>510</v>
      </c>
      <c r="F145" s="4">
        <f t="shared" si="5"/>
        <v>0.42916666666666664</v>
      </c>
      <c r="G145" t="s">
        <v>269</v>
      </c>
      <c r="H145" t="s">
        <v>30</v>
      </c>
      <c r="I145" t="s">
        <v>31</v>
      </c>
      <c r="J145" t="s">
        <v>94</v>
      </c>
      <c r="K145" t="s">
        <v>45</v>
      </c>
      <c r="L145" t="s">
        <v>84</v>
      </c>
      <c r="M145">
        <v>8</v>
      </c>
      <c r="N145">
        <v>8</v>
      </c>
      <c r="O145">
        <v>7</v>
      </c>
      <c r="P145">
        <v>7</v>
      </c>
      <c r="Q145">
        <v>10</v>
      </c>
      <c r="R145">
        <v>10</v>
      </c>
      <c r="S145" t="s">
        <v>64</v>
      </c>
      <c r="T145" t="s">
        <v>56</v>
      </c>
      <c r="U145" t="s">
        <v>37</v>
      </c>
      <c r="V145">
        <v>22</v>
      </c>
      <c r="W145" t="s">
        <v>38</v>
      </c>
      <c r="X145" t="s">
        <v>237</v>
      </c>
      <c r="Y145" t="s">
        <v>511</v>
      </c>
    </row>
    <row r="146" spans="1:25" x14ac:dyDescent="0.45">
      <c r="A146" t="s">
        <v>512</v>
      </c>
      <c r="B146" t="s">
        <v>25</v>
      </c>
      <c r="C146" s="3" t="s">
        <v>26</v>
      </c>
      <c r="D146" s="3">
        <f t="shared" si="4"/>
        <v>44840</v>
      </c>
      <c r="E146" t="s">
        <v>513</v>
      </c>
      <c r="F146" s="4">
        <f t="shared" si="5"/>
        <v>0.42986111111111114</v>
      </c>
      <c r="G146" t="s">
        <v>514</v>
      </c>
      <c r="H146" t="s">
        <v>30</v>
      </c>
      <c r="I146" t="s">
        <v>31</v>
      </c>
      <c r="J146" t="s">
        <v>53</v>
      </c>
      <c r="K146" t="s">
        <v>90</v>
      </c>
      <c r="L146" t="s">
        <v>34</v>
      </c>
      <c r="M146">
        <v>3</v>
      </c>
      <c r="N146">
        <v>2</v>
      </c>
      <c r="O146">
        <v>4</v>
      </c>
      <c r="P146">
        <v>2</v>
      </c>
      <c r="Q146">
        <v>2</v>
      </c>
      <c r="R146">
        <v>2</v>
      </c>
      <c r="S146" t="s">
        <v>85</v>
      </c>
      <c r="T146" t="s">
        <v>114</v>
      </c>
      <c r="U146" t="s">
        <v>37</v>
      </c>
      <c r="V146">
        <v>28</v>
      </c>
      <c r="W146" t="s">
        <v>515</v>
      </c>
      <c r="X146" t="s">
        <v>237</v>
      </c>
      <c r="Y146" t="s">
        <v>58</v>
      </c>
    </row>
    <row r="147" spans="1:25" x14ac:dyDescent="0.45">
      <c r="A147" t="s">
        <v>516</v>
      </c>
      <c r="B147" t="s">
        <v>25</v>
      </c>
      <c r="C147" s="3" t="s">
        <v>26</v>
      </c>
      <c r="D147" s="3">
        <f t="shared" si="4"/>
        <v>44840</v>
      </c>
      <c r="E147" t="s">
        <v>517</v>
      </c>
      <c r="F147" s="4">
        <f t="shared" si="5"/>
        <v>0.43055555555555558</v>
      </c>
      <c r="G147" t="s">
        <v>250</v>
      </c>
      <c r="H147" t="s">
        <v>518</v>
      </c>
      <c r="I147" t="s">
        <v>43</v>
      </c>
      <c r="J147" t="s">
        <v>63</v>
      </c>
      <c r="K147" t="s">
        <v>103</v>
      </c>
      <c r="L147" t="s">
        <v>46</v>
      </c>
      <c r="M147">
        <v>8</v>
      </c>
      <c r="N147">
        <v>10</v>
      </c>
      <c r="O147">
        <v>9</v>
      </c>
      <c r="P147">
        <v>7</v>
      </c>
      <c r="Q147">
        <v>5</v>
      </c>
      <c r="R147">
        <v>5</v>
      </c>
      <c r="S147" t="s">
        <v>85</v>
      </c>
      <c r="T147" t="s">
        <v>36</v>
      </c>
      <c r="U147" t="s">
        <v>37</v>
      </c>
      <c r="V147">
        <v>33</v>
      </c>
      <c r="W147" t="s">
        <v>38</v>
      </c>
      <c r="X147" t="s">
        <v>240</v>
      </c>
      <c r="Y147" t="s">
        <v>39</v>
      </c>
    </row>
    <row r="148" spans="1:25" x14ac:dyDescent="0.45">
      <c r="A148" t="s">
        <v>519</v>
      </c>
      <c r="B148" t="s">
        <v>25</v>
      </c>
      <c r="C148" s="3" t="s">
        <v>26</v>
      </c>
      <c r="D148" s="3">
        <f t="shared" si="4"/>
        <v>44840</v>
      </c>
      <c r="E148" t="s">
        <v>520</v>
      </c>
      <c r="F148" s="4">
        <f t="shared" si="5"/>
        <v>0.43125000000000002</v>
      </c>
      <c r="G148" t="s">
        <v>521</v>
      </c>
      <c r="H148" t="s">
        <v>30</v>
      </c>
      <c r="I148" t="s">
        <v>31</v>
      </c>
      <c r="J148" t="s">
        <v>53</v>
      </c>
      <c r="K148" t="s">
        <v>45</v>
      </c>
      <c r="L148" t="s">
        <v>522</v>
      </c>
      <c r="M148">
        <v>2</v>
      </c>
      <c r="N148">
        <v>3</v>
      </c>
      <c r="O148">
        <v>3</v>
      </c>
      <c r="P148">
        <v>3</v>
      </c>
      <c r="Q148">
        <v>2</v>
      </c>
      <c r="R148">
        <v>4</v>
      </c>
      <c r="S148" t="s">
        <v>85</v>
      </c>
      <c r="T148" t="s">
        <v>56</v>
      </c>
      <c r="U148" t="s">
        <v>65</v>
      </c>
      <c r="V148">
        <v>22</v>
      </c>
      <c r="W148" t="s">
        <v>523</v>
      </c>
      <c r="X148" t="s">
        <v>237</v>
      </c>
      <c r="Y148" t="s">
        <v>524</v>
      </c>
    </row>
    <row r="149" spans="1:25" x14ac:dyDescent="0.45">
      <c r="A149" t="s">
        <v>525</v>
      </c>
      <c r="B149" t="s">
        <v>25</v>
      </c>
      <c r="C149" s="3" t="s">
        <v>26</v>
      </c>
      <c r="D149" s="3">
        <f t="shared" si="4"/>
        <v>44840</v>
      </c>
      <c r="E149" t="s">
        <v>526</v>
      </c>
      <c r="F149" s="4">
        <f t="shared" si="5"/>
        <v>0.43263888888888891</v>
      </c>
      <c r="G149" t="s">
        <v>527</v>
      </c>
      <c r="H149" t="s">
        <v>123</v>
      </c>
      <c r="I149" t="s">
        <v>43</v>
      </c>
      <c r="J149" t="s">
        <v>53</v>
      </c>
      <c r="K149" t="s">
        <v>103</v>
      </c>
      <c r="L149" t="s">
        <v>34</v>
      </c>
      <c r="M149">
        <v>3</v>
      </c>
      <c r="N149">
        <v>5</v>
      </c>
      <c r="O149">
        <v>5</v>
      </c>
      <c r="P149">
        <v>4</v>
      </c>
      <c r="Q149">
        <v>4</v>
      </c>
      <c r="R149">
        <v>5</v>
      </c>
      <c r="S149" t="s">
        <v>85</v>
      </c>
      <c r="T149" t="s">
        <v>70</v>
      </c>
      <c r="U149" t="s">
        <v>37</v>
      </c>
      <c r="V149">
        <v>27</v>
      </c>
      <c r="W149" t="s">
        <v>147</v>
      </c>
      <c r="X149" t="s">
        <v>237</v>
      </c>
      <c r="Y149" t="s">
        <v>528</v>
      </c>
    </row>
    <row r="150" spans="1:25" x14ac:dyDescent="0.45">
      <c r="A150" t="s">
        <v>529</v>
      </c>
      <c r="B150" t="s">
        <v>25</v>
      </c>
      <c r="C150" s="3" t="s">
        <v>26</v>
      </c>
      <c r="D150" s="3">
        <f t="shared" si="4"/>
        <v>44840</v>
      </c>
      <c r="E150" t="s">
        <v>530</v>
      </c>
      <c r="F150" s="4">
        <f t="shared" si="5"/>
        <v>0.43402777777777779</v>
      </c>
      <c r="G150" t="s">
        <v>531</v>
      </c>
      <c r="H150" t="s">
        <v>30</v>
      </c>
      <c r="I150" t="s">
        <v>31</v>
      </c>
      <c r="J150" t="s">
        <v>32</v>
      </c>
      <c r="K150" t="s">
        <v>532</v>
      </c>
      <c r="L150" t="s">
        <v>533</v>
      </c>
      <c r="M150">
        <v>8</v>
      </c>
      <c r="N150">
        <v>8</v>
      </c>
      <c r="O150">
        <v>8</v>
      </c>
      <c r="P150">
        <v>8</v>
      </c>
      <c r="Q150">
        <v>10</v>
      </c>
      <c r="R150">
        <v>10</v>
      </c>
      <c r="S150" t="s">
        <v>55</v>
      </c>
      <c r="T150" t="s">
        <v>56</v>
      </c>
      <c r="U150" t="s">
        <v>37</v>
      </c>
      <c r="V150">
        <v>37</v>
      </c>
      <c r="W150" t="s">
        <v>38</v>
      </c>
      <c r="X150" t="s">
        <v>237</v>
      </c>
      <c r="Y150" t="s">
        <v>534</v>
      </c>
    </row>
    <row r="151" spans="1:25" x14ac:dyDescent="0.45">
      <c r="A151" t="s">
        <v>535</v>
      </c>
      <c r="B151" t="s">
        <v>25</v>
      </c>
      <c r="C151" s="3" t="s">
        <v>26</v>
      </c>
      <c r="D151" s="3">
        <f t="shared" si="4"/>
        <v>44840</v>
      </c>
      <c r="E151" t="s">
        <v>530</v>
      </c>
      <c r="F151" s="4">
        <f t="shared" si="5"/>
        <v>0.43402777777777779</v>
      </c>
      <c r="G151" t="s">
        <v>536</v>
      </c>
      <c r="H151" t="s">
        <v>266</v>
      </c>
      <c r="I151" t="s">
        <v>43</v>
      </c>
      <c r="J151" t="s">
        <v>44</v>
      </c>
      <c r="K151" t="s">
        <v>537</v>
      </c>
      <c r="L151" t="s">
        <v>46</v>
      </c>
      <c r="M151">
        <v>3</v>
      </c>
      <c r="N151">
        <v>4</v>
      </c>
      <c r="O151">
        <v>5</v>
      </c>
      <c r="P151">
        <v>5</v>
      </c>
      <c r="Q151">
        <v>4</v>
      </c>
      <c r="R151">
        <v>3</v>
      </c>
      <c r="S151" t="s">
        <v>69</v>
      </c>
      <c r="T151" t="s">
        <v>70</v>
      </c>
      <c r="U151" t="s">
        <v>37</v>
      </c>
      <c r="V151">
        <v>24</v>
      </c>
      <c r="W151" t="s">
        <v>38</v>
      </c>
      <c r="X151" t="s">
        <v>240</v>
      </c>
      <c r="Y151" t="s">
        <v>39</v>
      </c>
    </row>
    <row r="152" spans="1:25" x14ac:dyDescent="0.45">
      <c r="A152" t="s">
        <v>538</v>
      </c>
      <c r="B152" t="s">
        <v>25</v>
      </c>
      <c r="C152" s="3" t="s">
        <v>26</v>
      </c>
      <c r="D152" s="3">
        <f t="shared" si="4"/>
        <v>44840</v>
      </c>
      <c r="E152" t="s">
        <v>539</v>
      </c>
      <c r="F152" s="4">
        <f t="shared" si="5"/>
        <v>0.43541666666666667</v>
      </c>
      <c r="G152" t="s">
        <v>154</v>
      </c>
      <c r="H152" t="s">
        <v>30</v>
      </c>
      <c r="I152" t="s">
        <v>43</v>
      </c>
      <c r="J152" t="s">
        <v>44</v>
      </c>
      <c r="K152" t="s">
        <v>33</v>
      </c>
      <c r="L152" t="s">
        <v>46</v>
      </c>
      <c r="M152">
        <v>1</v>
      </c>
      <c r="N152">
        <v>4</v>
      </c>
      <c r="O152">
        <v>3</v>
      </c>
      <c r="P152">
        <v>2</v>
      </c>
      <c r="Q152">
        <v>0</v>
      </c>
      <c r="R152">
        <v>6</v>
      </c>
      <c r="S152" t="s">
        <v>69</v>
      </c>
      <c r="T152" t="s">
        <v>70</v>
      </c>
      <c r="U152" t="s">
        <v>37</v>
      </c>
      <c r="V152">
        <v>25</v>
      </c>
      <c r="W152" t="s">
        <v>109</v>
      </c>
      <c r="X152" t="s">
        <v>240</v>
      </c>
      <c r="Y152" t="s">
        <v>48</v>
      </c>
    </row>
    <row r="153" spans="1:25" x14ac:dyDescent="0.45">
      <c r="A153" t="s">
        <v>540</v>
      </c>
      <c r="B153" t="s">
        <v>25</v>
      </c>
      <c r="C153" s="3" t="s">
        <v>26</v>
      </c>
      <c r="D153" s="3">
        <f t="shared" si="4"/>
        <v>44840</v>
      </c>
      <c r="E153" t="s">
        <v>539</v>
      </c>
      <c r="F153" s="4">
        <f t="shared" si="5"/>
        <v>0.43541666666666667</v>
      </c>
      <c r="G153" t="s">
        <v>112</v>
      </c>
      <c r="H153" t="s">
        <v>52</v>
      </c>
      <c r="I153" t="s">
        <v>43</v>
      </c>
      <c r="J153" t="s">
        <v>87</v>
      </c>
      <c r="K153" t="s">
        <v>33</v>
      </c>
      <c r="L153" t="s">
        <v>46</v>
      </c>
      <c r="M153">
        <v>8</v>
      </c>
      <c r="N153">
        <v>10</v>
      </c>
      <c r="O153">
        <v>8</v>
      </c>
      <c r="P153">
        <v>8</v>
      </c>
      <c r="Q153">
        <v>9</v>
      </c>
      <c r="R153">
        <v>10</v>
      </c>
      <c r="S153" t="s">
        <v>85</v>
      </c>
      <c r="T153" t="s">
        <v>114</v>
      </c>
      <c r="U153" t="s">
        <v>37</v>
      </c>
      <c r="V153">
        <v>28</v>
      </c>
      <c r="W153" t="s">
        <v>38</v>
      </c>
      <c r="X153" t="s">
        <v>240</v>
      </c>
      <c r="Y153" t="s">
        <v>58</v>
      </c>
    </row>
    <row r="154" spans="1:25" x14ac:dyDescent="0.45">
      <c r="A154" t="s">
        <v>541</v>
      </c>
      <c r="B154" t="s">
        <v>25</v>
      </c>
      <c r="C154" s="3" t="s">
        <v>26</v>
      </c>
      <c r="D154" s="3">
        <f t="shared" si="4"/>
        <v>44840</v>
      </c>
      <c r="E154" t="s">
        <v>542</v>
      </c>
      <c r="F154" s="4">
        <f t="shared" si="5"/>
        <v>0.43680555555555556</v>
      </c>
      <c r="G154" t="s">
        <v>150</v>
      </c>
      <c r="H154" t="s">
        <v>30</v>
      </c>
      <c r="I154" t="s">
        <v>31</v>
      </c>
      <c r="J154" t="s">
        <v>44</v>
      </c>
      <c r="K154" t="s">
        <v>543</v>
      </c>
      <c r="L154" t="s">
        <v>34</v>
      </c>
      <c r="M154">
        <v>5</v>
      </c>
      <c r="N154">
        <v>5</v>
      </c>
      <c r="O154">
        <v>7</v>
      </c>
      <c r="P154">
        <v>7</v>
      </c>
      <c r="Q154">
        <v>7</v>
      </c>
      <c r="R154">
        <v>7</v>
      </c>
      <c r="S154" t="s">
        <v>55</v>
      </c>
      <c r="T154" t="s">
        <v>70</v>
      </c>
      <c r="U154" t="s">
        <v>37</v>
      </c>
      <c r="V154">
        <v>32</v>
      </c>
      <c r="W154" t="s">
        <v>109</v>
      </c>
      <c r="X154" t="s">
        <v>237</v>
      </c>
      <c r="Y154" t="s">
        <v>39</v>
      </c>
    </row>
    <row r="155" spans="1:25" x14ac:dyDescent="0.45">
      <c r="A155" t="s">
        <v>544</v>
      </c>
      <c r="B155" t="s">
        <v>25</v>
      </c>
      <c r="C155" s="3" t="s">
        <v>26</v>
      </c>
      <c r="D155" s="3">
        <f t="shared" si="4"/>
        <v>44840</v>
      </c>
      <c r="E155" t="s">
        <v>542</v>
      </c>
      <c r="F155" s="4">
        <f t="shared" si="5"/>
        <v>0.43680555555555556</v>
      </c>
      <c r="G155" t="s">
        <v>157</v>
      </c>
      <c r="H155" t="s">
        <v>30</v>
      </c>
      <c r="I155" t="s">
        <v>31</v>
      </c>
      <c r="J155" t="s">
        <v>44</v>
      </c>
      <c r="K155" t="s">
        <v>545</v>
      </c>
      <c r="L155" t="s">
        <v>34</v>
      </c>
      <c r="M155">
        <v>0</v>
      </c>
      <c r="N155">
        <v>7</v>
      </c>
      <c r="O155">
        <v>7</v>
      </c>
      <c r="P155">
        <v>7</v>
      </c>
      <c r="Q155">
        <v>0</v>
      </c>
      <c r="R155">
        <v>7</v>
      </c>
      <c r="S155" t="s">
        <v>55</v>
      </c>
      <c r="T155" t="s">
        <v>114</v>
      </c>
      <c r="U155" t="s">
        <v>37</v>
      </c>
      <c r="V155">
        <v>29</v>
      </c>
      <c r="W155" t="s">
        <v>38</v>
      </c>
      <c r="X155" t="s">
        <v>237</v>
      </c>
      <c r="Y155" t="s">
        <v>48</v>
      </c>
    </row>
    <row r="156" spans="1:25" x14ac:dyDescent="0.45">
      <c r="A156" t="s">
        <v>546</v>
      </c>
      <c r="B156" t="s">
        <v>25</v>
      </c>
      <c r="C156" s="3" t="s">
        <v>26</v>
      </c>
      <c r="D156" s="3">
        <f t="shared" si="4"/>
        <v>44840</v>
      </c>
      <c r="E156" t="s">
        <v>547</v>
      </c>
      <c r="F156" s="4">
        <f t="shared" si="5"/>
        <v>0.43958333333333333</v>
      </c>
      <c r="G156" t="s">
        <v>548</v>
      </c>
      <c r="H156" t="s">
        <v>30</v>
      </c>
      <c r="I156" t="s">
        <v>43</v>
      </c>
      <c r="J156" t="s">
        <v>44</v>
      </c>
      <c r="K156" t="s">
        <v>33</v>
      </c>
      <c r="L156" t="s">
        <v>46</v>
      </c>
      <c r="M156">
        <v>7</v>
      </c>
      <c r="N156">
        <v>5</v>
      </c>
      <c r="O156">
        <v>8</v>
      </c>
      <c r="P156">
        <v>6</v>
      </c>
      <c r="Q156">
        <v>5</v>
      </c>
      <c r="R156">
        <v>10</v>
      </c>
      <c r="S156" t="s">
        <v>69</v>
      </c>
      <c r="T156" t="s">
        <v>549</v>
      </c>
      <c r="U156" t="s">
        <v>65</v>
      </c>
      <c r="V156">
        <v>26</v>
      </c>
      <c r="W156" t="s">
        <v>199</v>
      </c>
      <c r="X156" t="s">
        <v>240</v>
      </c>
      <c r="Y156" t="s">
        <v>39</v>
      </c>
    </row>
    <row r="157" spans="1:25" x14ac:dyDescent="0.45">
      <c r="A157" t="s">
        <v>550</v>
      </c>
      <c r="B157" t="s">
        <v>25</v>
      </c>
      <c r="C157" s="3" t="s">
        <v>26</v>
      </c>
      <c r="D157" s="3">
        <f t="shared" si="4"/>
        <v>44840</v>
      </c>
      <c r="E157" t="s">
        <v>551</v>
      </c>
      <c r="F157" s="4">
        <f t="shared" si="5"/>
        <v>0.44236111111111109</v>
      </c>
      <c r="G157" t="s">
        <v>552</v>
      </c>
      <c r="H157" t="s">
        <v>52</v>
      </c>
      <c r="I157" t="s">
        <v>31</v>
      </c>
      <c r="J157" t="s">
        <v>44</v>
      </c>
      <c r="K157" t="s">
        <v>103</v>
      </c>
      <c r="L157" t="s">
        <v>34</v>
      </c>
      <c r="M157">
        <v>0</v>
      </c>
      <c r="N157">
        <v>7</v>
      </c>
      <c r="O157">
        <v>5</v>
      </c>
      <c r="P157">
        <v>0</v>
      </c>
      <c r="Q157">
        <v>0</v>
      </c>
      <c r="R157">
        <v>7</v>
      </c>
      <c r="S157" t="s">
        <v>85</v>
      </c>
      <c r="T157" t="s">
        <v>36</v>
      </c>
      <c r="U157" t="s">
        <v>37</v>
      </c>
      <c r="V157">
        <v>37</v>
      </c>
      <c r="W157" t="s">
        <v>47</v>
      </c>
      <c r="X157" t="s">
        <v>240</v>
      </c>
      <c r="Y157" t="s">
        <v>39</v>
      </c>
    </row>
    <row r="158" spans="1:25" x14ac:dyDescent="0.45">
      <c r="A158" t="s">
        <v>553</v>
      </c>
      <c r="B158" t="s">
        <v>25</v>
      </c>
      <c r="C158" s="3" t="s">
        <v>26</v>
      </c>
      <c r="D158" s="3">
        <f t="shared" si="4"/>
        <v>44840</v>
      </c>
      <c r="E158" t="s">
        <v>554</v>
      </c>
      <c r="F158" s="4">
        <f t="shared" si="5"/>
        <v>0.44374999999999998</v>
      </c>
      <c r="G158" t="s">
        <v>250</v>
      </c>
      <c r="H158" t="s">
        <v>30</v>
      </c>
      <c r="I158" t="s">
        <v>43</v>
      </c>
      <c r="J158" t="s">
        <v>44</v>
      </c>
      <c r="K158" t="s">
        <v>555</v>
      </c>
      <c r="L158" t="s">
        <v>46</v>
      </c>
      <c r="M158">
        <v>4</v>
      </c>
      <c r="N158">
        <v>6</v>
      </c>
      <c r="O158">
        <v>5</v>
      </c>
      <c r="P158">
        <v>4</v>
      </c>
      <c r="Q158">
        <v>5</v>
      </c>
      <c r="R158">
        <v>6</v>
      </c>
      <c r="S158" t="s">
        <v>85</v>
      </c>
      <c r="T158" t="s">
        <v>70</v>
      </c>
      <c r="U158" t="s">
        <v>37</v>
      </c>
      <c r="V158">
        <v>25</v>
      </c>
      <c r="W158" t="s">
        <v>38</v>
      </c>
      <c r="X158" t="s">
        <v>237</v>
      </c>
      <c r="Y158" t="s">
        <v>39</v>
      </c>
    </row>
    <row r="159" spans="1:25" x14ac:dyDescent="0.45">
      <c r="A159" t="s">
        <v>556</v>
      </c>
      <c r="B159" t="s">
        <v>25</v>
      </c>
      <c r="C159" s="3" t="s">
        <v>26</v>
      </c>
      <c r="D159" s="3">
        <f t="shared" si="4"/>
        <v>44840</v>
      </c>
      <c r="E159" t="s">
        <v>557</v>
      </c>
      <c r="F159" s="4">
        <f t="shared" si="5"/>
        <v>0.44444444444444442</v>
      </c>
      <c r="G159" t="s">
        <v>336</v>
      </c>
      <c r="H159" t="s">
        <v>30</v>
      </c>
      <c r="I159" t="s">
        <v>43</v>
      </c>
      <c r="J159" t="s">
        <v>53</v>
      </c>
      <c r="K159" t="s">
        <v>45</v>
      </c>
      <c r="L159" t="s">
        <v>318</v>
      </c>
      <c r="M159">
        <v>4</v>
      </c>
      <c r="N159">
        <v>4</v>
      </c>
      <c r="O159">
        <v>5</v>
      </c>
      <c r="P159">
        <v>6</v>
      </c>
      <c r="Q159">
        <v>6</v>
      </c>
      <c r="R159">
        <v>0</v>
      </c>
      <c r="S159" t="s">
        <v>69</v>
      </c>
      <c r="T159" t="s">
        <v>70</v>
      </c>
      <c r="U159" t="s">
        <v>37</v>
      </c>
      <c r="V159">
        <v>24</v>
      </c>
      <c r="W159" t="s">
        <v>558</v>
      </c>
      <c r="X159" t="s">
        <v>227</v>
      </c>
      <c r="Y159" t="s">
        <v>39</v>
      </c>
    </row>
    <row r="160" spans="1:25" x14ac:dyDescent="0.45">
      <c r="A160" t="s">
        <v>559</v>
      </c>
      <c r="B160" t="s">
        <v>25</v>
      </c>
      <c r="C160" s="3" t="s">
        <v>26</v>
      </c>
      <c r="D160" s="3">
        <f t="shared" si="4"/>
        <v>44840</v>
      </c>
      <c r="E160" t="s">
        <v>560</v>
      </c>
      <c r="F160" s="4">
        <f t="shared" si="5"/>
        <v>0.44513888888888886</v>
      </c>
      <c r="G160" t="s">
        <v>514</v>
      </c>
      <c r="H160" t="s">
        <v>561</v>
      </c>
      <c r="I160" t="s">
        <v>43</v>
      </c>
      <c r="J160" t="s">
        <v>82</v>
      </c>
      <c r="K160" t="s">
        <v>45</v>
      </c>
      <c r="L160" t="s">
        <v>84</v>
      </c>
      <c r="M160">
        <v>7</v>
      </c>
      <c r="N160">
        <v>8</v>
      </c>
      <c r="O160">
        <v>8</v>
      </c>
      <c r="P160">
        <v>8</v>
      </c>
      <c r="Q160">
        <v>7</v>
      </c>
      <c r="R160">
        <v>8</v>
      </c>
      <c r="S160" t="s">
        <v>55</v>
      </c>
      <c r="T160" t="s">
        <v>70</v>
      </c>
      <c r="U160" t="s">
        <v>37</v>
      </c>
      <c r="V160">
        <v>52</v>
      </c>
      <c r="W160" t="s">
        <v>38</v>
      </c>
      <c r="X160" t="s">
        <v>237</v>
      </c>
      <c r="Y160" t="s">
        <v>39</v>
      </c>
    </row>
    <row r="161" spans="1:25" x14ac:dyDescent="0.45">
      <c r="A161" t="s">
        <v>562</v>
      </c>
      <c r="B161" t="s">
        <v>25</v>
      </c>
      <c r="C161" s="3" t="s">
        <v>26</v>
      </c>
      <c r="D161" s="3">
        <f t="shared" si="4"/>
        <v>44840</v>
      </c>
      <c r="E161" t="s">
        <v>563</v>
      </c>
      <c r="F161" s="4">
        <f t="shared" si="5"/>
        <v>0.4465277777777778</v>
      </c>
      <c r="G161" t="s">
        <v>564</v>
      </c>
      <c r="H161" t="s">
        <v>30</v>
      </c>
      <c r="I161" t="s">
        <v>31</v>
      </c>
      <c r="J161" t="s">
        <v>44</v>
      </c>
      <c r="K161" t="s">
        <v>45</v>
      </c>
      <c r="L161" t="s">
        <v>34</v>
      </c>
      <c r="M161">
        <v>6</v>
      </c>
      <c r="N161">
        <v>10</v>
      </c>
      <c r="O161">
        <v>3</v>
      </c>
      <c r="P161">
        <v>5</v>
      </c>
      <c r="Q161">
        <v>0</v>
      </c>
      <c r="R161">
        <v>10</v>
      </c>
      <c r="S161" t="s">
        <v>69</v>
      </c>
      <c r="T161" t="s">
        <v>114</v>
      </c>
      <c r="U161" t="s">
        <v>37</v>
      </c>
      <c r="V161">
        <v>27</v>
      </c>
      <c r="W161" t="s">
        <v>565</v>
      </c>
      <c r="X161" t="s">
        <v>237</v>
      </c>
      <c r="Y161" t="s">
        <v>48</v>
      </c>
    </row>
    <row r="162" spans="1:25" x14ac:dyDescent="0.45">
      <c r="A162" t="s">
        <v>566</v>
      </c>
      <c r="B162" t="s">
        <v>25</v>
      </c>
      <c r="C162" s="3" t="s">
        <v>26</v>
      </c>
      <c r="D162" s="3">
        <f t="shared" si="4"/>
        <v>44840</v>
      </c>
      <c r="E162" t="s">
        <v>567</v>
      </c>
      <c r="F162" s="4">
        <f t="shared" si="5"/>
        <v>0.44930555555555557</v>
      </c>
      <c r="G162" t="s">
        <v>568</v>
      </c>
      <c r="H162" t="s">
        <v>30</v>
      </c>
      <c r="I162" t="s">
        <v>43</v>
      </c>
      <c r="J162" t="s">
        <v>32</v>
      </c>
      <c r="K162" t="s">
        <v>33</v>
      </c>
      <c r="L162" t="s">
        <v>376</v>
      </c>
      <c r="M162">
        <v>6</v>
      </c>
      <c r="N162">
        <v>6</v>
      </c>
      <c r="O162">
        <v>3</v>
      </c>
      <c r="P162">
        <v>3</v>
      </c>
      <c r="Q162">
        <v>3</v>
      </c>
      <c r="R162">
        <v>3</v>
      </c>
      <c r="S162" t="s">
        <v>85</v>
      </c>
      <c r="T162" t="s">
        <v>70</v>
      </c>
      <c r="U162" t="s">
        <v>65</v>
      </c>
      <c r="V162">
        <v>29</v>
      </c>
      <c r="W162" t="s">
        <v>38</v>
      </c>
      <c r="X162" t="s">
        <v>240</v>
      </c>
      <c r="Y162" t="s">
        <v>39</v>
      </c>
    </row>
    <row r="163" spans="1:25" x14ac:dyDescent="0.45">
      <c r="A163" t="s">
        <v>569</v>
      </c>
      <c r="B163" t="s">
        <v>25</v>
      </c>
      <c r="C163" s="3" t="s">
        <v>26</v>
      </c>
      <c r="D163" s="3">
        <f t="shared" si="4"/>
        <v>44840</v>
      </c>
      <c r="E163" t="s">
        <v>570</v>
      </c>
      <c r="F163" s="4">
        <f t="shared" si="5"/>
        <v>0.4513888888888889</v>
      </c>
      <c r="G163" t="s">
        <v>504</v>
      </c>
      <c r="H163" t="s">
        <v>123</v>
      </c>
      <c r="I163" t="s">
        <v>43</v>
      </c>
      <c r="J163" t="s">
        <v>53</v>
      </c>
      <c r="K163" t="s">
        <v>103</v>
      </c>
      <c r="L163" t="s">
        <v>34</v>
      </c>
      <c r="M163">
        <v>3</v>
      </c>
      <c r="N163">
        <v>7</v>
      </c>
      <c r="O163">
        <v>6</v>
      </c>
      <c r="P163">
        <v>7</v>
      </c>
      <c r="Q163">
        <v>0</v>
      </c>
      <c r="R163">
        <v>0</v>
      </c>
      <c r="S163" t="s">
        <v>69</v>
      </c>
      <c r="T163" t="s">
        <v>70</v>
      </c>
      <c r="U163" t="s">
        <v>37</v>
      </c>
      <c r="V163">
        <v>42</v>
      </c>
      <c r="W163" t="s">
        <v>341</v>
      </c>
      <c r="X163" t="s">
        <v>262</v>
      </c>
      <c r="Y163" t="s">
        <v>39</v>
      </c>
    </row>
    <row r="164" spans="1:25" x14ac:dyDescent="0.45">
      <c r="A164" t="s">
        <v>571</v>
      </c>
      <c r="B164" t="s">
        <v>25</v>
      </c>
      <c r="C164" s="3" t="s">
        <v>26</v>
      </c>
      <c r="D164" s="3">
        <f t="shared" si="4"/>
        <v>44840</v>
      </c>
      <c r="E164" t="s">
        <v>572</v>
      </c>
      <c r="F164" s="4">
        <f t="shared" si="5"/>
        <v>0.45277777777777778</v>
      </c>
      <c r="G164" t="s">
        <v>112</v>
      </c>
      <c r="H164" t="s">
        <v>30</v>
      </c>
      <c r="I164" t="s">
        <v>31</v>
      </c>
      <c r="J164" t="s">
        <v>44</v>
      </c>
      <c r="K164" t="s">
        <v>90</v>
      </c>
      <c r="L164" t="s">
        <v>46</v>
      </c>
      <c r="M164">
        <v>3</v>
      </c>
      <c r="N164">
        <v>5</v>
      </c>
      <c r="O164">
        <v>6</v>
      </c>
      <c r="P164">
        <v>4</v>
      </c>
      <c r="Q164">
        <v>3</v>
      </c>
      <c r="R164">
        <v>7</v>
      </c>
      <c r="S164" t="s">
        <v>69</v>
      </c>
      <c r="T164" t="s">
        <v>573</v>
      </c>
      <c r="U164" t="s">
        <v>37</v>
      </c>
      <c r="V164">
        <v>28</v>
      </c>
      <c r="W164" t="s">
        <v>38</v>
      </c>
      <c r="X164" t="s">
        <v>240</v>
      </c>
      <c r="Y164" t="s">
        <v>39</v>
      </c>
    </row>
    <row r="165" spans="1:25" x14ac:dyDescent="0.45">
      <c r="A165" t="s">
        <v>574</v>
      </c>
      <c r="B165" t="s">
        <v>25</v>
      </c>
      <c r="C165" s="3" t="s">
        <v>26</v>
      </c>
      <c r="D165" s="3">
        <f t="shared" si="4"/>
        <v>44840</v>
      </c>
      <c r="E165" t="s">
        <v>572</v>
      </c>
      <c r="F165" s="4">
        <f t="shared" si="5"/>
        <v>0.45277777777777778</v>
      </c>
      <c r="G165" t="s">
        <v>210</v>
      </c>
      <c r="H165" t="s">
        <v>30</v>
      </c>
      <c r="I165" t="s">
        <v>31</v>
      </c>
      <c r="J165" t="s">
        <v>53</v>
      </c>
      <c r="K165" t="s">
        <v>103</v>
      </c>
      <c r="L165" t="s">
        <v>34</v>
      </c>
      <c r="M165">
        <v>8</v>
      </c>
      <c r="N165">
        <v>8</v>
      </c>
      <c r="O165">
        <v>8</v>
      </c>
      <c r="P165">
        <v>8</v>
      </c>
      <c r="Q165">
        <v>8</v>
      </c>
      <c r="R165">
        <v>9</v>
      </c>
      <c r="S165" t="s">
        <v>85</v>
      </c>
      <c r="T165" t="s">
        <v>56</v>
      </c>
      <c r="U165" t="s">
        <v>37</v>
      </c>
      <c r="V165">
        <v>44</v>
      </c>
      <c r="W165" t="s">
        <v>403</v>
      </c>
      <c r="X165" t="s">
        <v>237</v>
      </c>
      <c r="Y165" t="s">
        <v>91</v>
      </c>
    </row>
    <row r="166" spans="1:25" x14ac:dyDescent="0.45">
      <c r="A166" t="s">
        <v>575</v>
      </c>
      <c r="B166" t="s">
        <v>25</v>
      </c>
      <c r="C166" s="3" t="s">
        <v>26</v>
      </c>
      <c r="D166" s="3">
        <f t="shared" si="4"/>
        <v>44840</v>
      </c>
      <c r="E166" t="s">
        <v>576</v>
      </c>
      <c r="F166" s="4">
        <f t="shared" si="5"/>
        <v>0.45347222222222222</v>
      </c>
      <c r="G166" t="s">
        <v>42</v>
      </c>
      <c r="H166" t="s">
        <v>52</v>
      </c>
      <c r="I166" t="s">
        <v>31</v>
      </c>
      <c r="J166" t="s">
        <v>53</v>
      </c>
      <c r="K166" t="s">
        <v>103</v>
      </c>
      <c r="L166" t="s">
        <v>34</v>
      </c>
      <c r="M166">
        <v>5</v>
      </c>
      <c r="N166">
        <v>5</v>
      </c>
      <c r="O166">
        <v>6</v>
      </c>
      <c r="P166">
        <v>5</v>
      </c>
      <c r="Q166">
        <v>6</v>
      </c>
      <c r="R166">
        <v>7</v>
      </c>
      <c r="S166" t="s">
        <v>85</v>
      </c>
      <c r="T166" t="s">
        <v>36</v>
      </c>
      <c r="U166" t="s">
        <v>37</v>
      </c>
      <c r="V166">
        <v>23</v>
      </c>
      <c r="W166" t="s">
        <v>207</v>
      </c>
      <c r="X166" t="s">
        <v>237</v>
      </c>
      <c r="Y166" t="s">
        <v>39</v>
      </c>
    </row>
    <row r="167" spans="1:25" x14ac:dyDescent="0.45">
      <c r="A167" t="s">
        <v>577</v>
      </c>
      <c r="B167" t="s">
        <v>25</v>
      </c>
      <c r="C167" s="3" t="s">
        <v>26</v>
      </c>
      <c r="D167" s="3">
        <f t="shared" si="4"/>
        <v>44840</v>
      </c>
      <c r="E167" t="s">
        <v>576</v>
      </c>
      <c r="F167" s="4">
        <f t="shared" si="5"/>
        <v>0.45347222222222222</v>
      </c>
      <c r="G167" t="s">
        <v>364</v>
      </c>
      <c r="H167" t="s">
        <v>30</v>
      </c>
      <c r="I167" t="s">
        <v>43</v>
      </c>
      <c r="J167" t="s">
        <v>44</v>
      </c>
      <c r="K167" t="s">
        <v>578</v>
      </c>
      <c r="L167" t="s">
        <v>46</v>
      </c>
      <c r="M167">
        <v>1</v>
      </c>
      <c r="N167">
        <v>2</v>
      </c>
      <c r="O167">
        <v>6</v>
      </c>
      <c r="P167">
        <v>4</v>
      </c>
      <c r="Q167">
        <v>2</v>
      </c>
      <c r="R167">
        <v>0</v>
      </c>
      <c r="S167" t="s">
        <v>55</v>
      </c>
      <c r="T167" t="s">
        <v>70</v>
      </c>
      <c r="U167" t="s">
        <v>37</v>
      </c>
      <c r="V167">
        <v>27</v>
      </c>
      <c r="W167" t="s">
        <v>38</v>
      </c>
      <c r="X167" t="s">
        <v>237</v>
      </c>
      <c r="Y167" t="s">
        <v>91</v>
      </c>
    </row>
    <row r="168" spans="1:25" x14ac:dyDescent="0.45">
      <c r="A168" t="s">
        <v>579</v>
      </c>
      <c r="B168" t="s">
        <v>25</v>
      </c>
      <c r="C168" s="3" t="s">
        <v>26</v>
      </c>
      <c r="D168" s="3">
        <f t="shared" si="4"/>
        <v>44840</v>
      </c>
      <c r="E168" t="s">
        <v>580</v>
      </c>
      <c r="F168" s="4">
        <f t="shared" si="5"/>
        <v>0.45416666666666666</v>
      </c>
      <c r="G168" t="s">
        <v>126</v>
      </c>
      <c r="H168" t="s">
        <v>30</v>
      </c>
      <c r="I168" t="s">
        <v>43</v>
      </c>
      <c r="J168" t="s">
        <v>94</v>
      </c>
      <c r="K168" t="s">
        <v>113</v>
      </c>
      <c r="L168" t="s">
        <v>34</v>
      </c>
      <c r="M168">
        <v>3</v>
      </c>
      <c r="N168">
        <v>3</v>
      </c>
      <c r="O168">
        <v>3</v>
      </c>
      <c r="P168">
        <v>2</v>
      </c>
      <c r="Q168">
        <v>2</v>
      </c>
      <c r="R168">
        <v>1</v>
      </c>
      <c r="S168" t="s">
        <v>85</v>
      </c>
      <c r="T168" t="s">
        <v>114</v>
      </c>
      <c r="U168" t="s">
        <v>37</v>
      </c>
      <c r="V168">
        <v>26</v>
      </c>
      <c r="W168" t="s">
        <v>38</v>
      </c>
      <c r="X168" t="s">
        <v>240</v>
      </c>
      <c r="Y168" t="s">
        <v>39</v>
      </c>
    </row>
    <row r="169" spans="1:25" x14ac:dyDescent="0.45">
      <c r="A169" t="s">
        <v>581</v>
      </c>
      <c r="B169" t="s">
        <v>25</v>
      </c>
      <c r="C169" s="3" t="s">
        <v>26</v>
      </c>
      <c r="D169" s="3">
        <f t="shared" si="4"/>
        <v>44840</v>
      </c>
      <c r="E169" t="s">
        <v>582</v>
      </c>
      <c r="F169" s="4">
        <f t="shared" si="5"/>
        <v>0.4548611111111111</v>
      </c>
      <c r="G169" t="s">
        <v>364</v>
      </c>
      <c r="H169" t="s">
        <v>30</v>
      </c>
      <c r="I169" t="s">
        <v>31</v>
      </c>
      <c r="J169" t="s">
        <v>87</v>
      </c>
      <c r="K169" t="s">
        <v>33</v>
      </c>
      <c r="L169" t="s">
        <v>583</v>
      </c>
      <c r="M169">
        <v>3</v>
      </c>
      <c r="N169">
        <v>4</v>
      </c>
      <c r="O169">
        <v>4</v>
      </c>
      <c r="P169">
        <v>4</v>
      </c>
      <c r="Q169">
        <v>1</v>
      </c>
      <c r="R169">
        <v>3</v>
      </c>
      <c r="S169" t="s">
        <v>85</v>
      </c>
      <c r="T169" t="s">
        <v>70</v>
      </c>
      <c r="U169" t="s">
        <v>37</v>
      </c>
      <c r="V169">
        <v>27</v>
      </c>
      <c r="W169" t="s">
        <v>38</v>
      </c>
      <c r="X169" t="s">
        <v>240</v>
      </c>
      <c r="Y169" t="s">
        <v>91</v>
      </c>
    </row>
    <row r="170" spans="1:25" x14ac:dyDescent="0.45">
      <c r="A170" t="s">
        <v>584</v>
      </c>
      <c r="B170" t="s">
        <v>25</v>
      </c>
      <c r="C170" s="3" t="s">
        <v>26</v>
      </c>
      <c r="D170" s="3">
        <f t="shared" si="4"/>
        <v>44840</v>
      </c>
      <c r="E170" t="s">
        <v>585</v>
      </c>
      <c r="F170" s="4">
        <f t="shared" si="5"/>
        <v>0.45555555555555555</v>
      </c>
      <c r="G170" t="s">
        <v>375</v>
      </c>
      <c r="H170" t="s">
        <v>30</v>
      </c>
      <c r="I170" t="s">
        <v>31</v>
      </c>
      <c r="J170" t="s">
        <v>94</v>
      </c>
      <c r="K170" t="s">
        <v>83</v>
      </c>
      <c r="L170" t="s">
        <v>34</v>
      </c>
      <c r="M170">
        <v>0</v>
      </c>
      <c r="N170">
        <v>0</v>
      </c>
      <c r="O170">
        <v>7</v>
      </c>
      <c r="P170">
        <v>1</v>
      </c>
      <c r="Q170">
        <v>0</v>
      </c>
      <c r="R170">
        <v>9</v>
      </c>
      <c r="S170" t="s">
        <v>69</v>
      </c>
      <c r="T170" t="s">
        <v>70</v>
      </c>
      <c r="U170" t="s">
        <v>37</v>
      </c>
      <c r="V170">
        <v>33</v>
      </c>
      <c r="W170" t="s">
        <v>47</v>
      </c>
      <c r="X170" t="s">
        <v>237</v>
      </c>
      <c r="Y170" t="s">
        <v>48</v>
      </c>
    </row>
    <row r="171" spans="1:25" x14ac:dyDescent="0.45">
      <c r="A171" t="s">
        <v>586</v>
      </c>
      <c r="B171" t="s">
        <v>25</v>
      </c>
      <c r="C171" s="3" t="s">
        <v>26</v>
      </c>
      <c r="D171" s="3">
        <f t="shared" si="4"/>
        <v>44840</v>
      </c>
      <c r="E171" t="s">
        <v>585</v>
      </c>
      <c r="F171" s="4">
        <f t="shared" si="5"/>
        <v>0.45555555555555555</v>
      </c>
      <c r="G171" t="s">
        <v>250</v>
      </c>
      <c r="H171" t="s">
        <v>30</v>
      </c>
      <c r="I171" t="s">
        <v>31</v>
      </c>
      <c r="J171" t="s">
        <v>94</v>
      </c>
      <c r="K171" t="s">
        <v>587</v>
      </c>
      <c r="L171" t="s">
        <v>34</v>
      </c>
      <c r="M171">
        <v>8</v>
      </c>
      <c r="N171">
        <v>10</v>
      </c>
      <c r="O171">
        <v>10</v>
      </c>
      <c r="P171">
        <v>10</v>
      </c>
      <c r="Q171">
        <v>10</v>
      </c>
      <c r="R171">
        <v>10</v>
      </c>
      <c r="S171" t="s">
        <v>55</v>
      </c>
      <c r="T171" t="s">
        <v>70</v>
      </c>
      <c r="U171" t="s">
        <v>37</v>
      </c>
      <c r="V171">
        <v>28</v>
      </c>
      <c r="W171" t="s">
        <v>38</v>
      </c>
      <c r="X171" t="s">
        <v>237</v>
      </c>
      <c r="Y171" t="s">
        <v>91</v>
      </c>
    </row>
    <row r="172" spans="1:25" x14ac:dyDescent="0.45">
      <c r="A172" t="s">
        <v>588</v>
      </c>
      <c r="B172" t="s">
        <v>25</v>
      </c>
      <c r="C172" s="3" t="s">
        <v>26</v>
      </c>
      <c r="D172" s="3">
        <f t="shared" si="4"/>
        <v>44840</v>
      </c>
      <c r="E172" t="s">
        <v>589</v>
      </c>
      <c r="F172" s="4">
        <f t="shared" si="5"/>
        <v>0.45833333333333331</v>
      </c>
      <c r="G172" t="s">
        <v>93</v>
      </c>
      <c r="H172" t="s">
        <v>30</v>
      </c>
      <c r="I172" t="s">
        <v>31</v>
      </c>
      <c r="J172" t="s">
        <v>53</v>
      </c>
      <c r="K172" t="s">
        <v>103</v>
      </c>
      <c r="L172" t="s">
        <v>46</v>
      </c>
      <c r="M172">
        <v>2</v>
      </c>
      <c r="N172">
        <v>8</v>
      </c>
      <c r="O172">
        <v>8</v>
      </c>
      <c r="P172">
        <v>7</v>
      </c>
      <c r="Q172">
        <v>6</v>
      </c>
      <c r="R172">
        <v>9</v>
      </c>
      <c r="S172" t="s">
        <v>85</v>
      </c>
      <c r="T172" t="s">
        <v>70</v>
      </c>
      <c r="U172" t="s">
        <v>37</v>
      </c>
      <c r="V172">
        <v>32</v>
      </c>
      <c r="W172" t="s">
        <v>132</v>
      </c>
      <c r="X172" t="s">
        <v>237</v>
      </c>
      <c r="Y172" t="s">
        <v>58</v>
      </c>
    </row>
    <row r="173" spans="1:25" x14ac:dyDescent="0.45">
      <c r="A173" t="s">
        <v>590</v>
      </c>
      <c r="B173" t="s">
        <v>25</v>
      </c>
      <c r="C173" s="3" t="s">
        <v>26</v>
      </c>
      <c r="D173" s="3">
        <f t="shared" si="4"/>
        <v>44840</v>
      </c>
      <c r="E173" t="s">
        <v>591</v>
      </c>
      <c r="F173" s="4">
        <f t="shared" si="5"/>
        <v>0.46111111111111114</v>
      </c>
      <c r="G173" t="s">
        <v>193</v>
      </c>
      <c r="H173" t="s">
        <v>123</v>
      </c>
      <c r="I173" t="s">
        <v>31</v>
      </c>
      <c r="J173" t="s">
        <v>44</v>
      </c>
      <c r="K173" t="s">
        <v>592</v>
      </c>
      <c r="L173" t="s">
        <v>34</v>
      </c>
      <c r="M173">
        <v>2</v>
      </c>
      <c r="N173">
        <v>4</v>
      </c>
      <c r="O173">
        <v>6</v>
      </c>
      <c r="P173">
        <v>1</v>
      </c>
      <c r="Q173">
        <v>1</v>
      </c>
      <c r="R173">
        <v>1</v>
      </c>
      <c r="S173" t="s">
        <v>35</v>
      </c>
      <c r="T173" t="s">
        <v>70</v>
      </c>
      <c r="U173" t="s">
        <v>37</v>
      </c>
      <c r="V173">
        <v>34</v>
      </c>
      <c r="W173" t="s">
        <v>47</v>
      </c>
      <c r="X173" t="s">
        <v>262</v>
      </c>
      <c r="Y173" t="s">
        <v>48</v>
      </c>
    </row>
    <row r="174" spans="1:25" x14ac:dyDescent="0.45">
      <c r="A174" t="s">
        <v>593</v>
      </c>
      <c r="B174" t="s">
        <v>25</v>
      </c>
      <c r="C174" s="3" t="s">
        <v>26</v>
      </c>
      <c r="D174" s="3">
        <f t="shared" si="4"/>
        <v>44840</v>
      </c>
      <c r="E174" t="s">
        <v>591</v>
      </c>
      <c r="F174" s="4">
        <f t="shared" si="5"/>
        <v>0.46111111111111114</v>
      </c>
      <c r="G174" t="s">
        <v>122</v>
      </c>
      <c r="H174" t="s">
        <v>30</v>
      </c>
      <c r="I174" t="s">
        <v>43</v>
      </c>
      <c r="J174" t="s">
        <v>63</v>
      </c>
      <c r="K174" t="s">
        <v>103</v>
      </c>
      <c r="L174" t="s">
        <v>34</v>
      </c>
      <c r="M174">
        <v>10</v>
      </c>
      <c r="N174">
        <v>10</v>
      </c>
      <c r="O174">
        <v>10</v>
      </c>
      <c r="P174">
        <v>8</v>
      </c>
      <c r="Q174">
        <v>10</v>
      </c>
      <c r="R174">
        <v>10</v>
      </c>
      <c r="S174" t="s">
        <v>55</v>
      </c>
      <c r="T174" t="s">
        <v>56</v>
      </c>
      <c r="U174" t="s">
        <v>37</v>
      </c>
      <c r="V174">
        <v>28</v>
      </c>
      <c r="W174" t="s">
        <v>38</v>
      </c>
      <c r="X174" t="s">
        <v>237</v>
      </c>
      <c r="Y174" t="s">
        <v>48</v>
      </c>
    </row>
    <row r="175" spans="1:25" x14ac:dyDescent="0.45">
      <c r="A175" t="s">
        <v>594</v>
      </c>
      <c r="B175" t="s">
        <v>25</v>
      </c>
      <c r="C175" s="3" t="s">
        <v>26</v>
      </c>
      <c r="D175" s="3">
        <f t="shared" si="4"/>
        <v>44840</v>
      </c>
      <c r="E175" t="s">
        <v>595</v>
      </c>
      <c r="F175" s="4">
        <f t="shared" si="5"/>
        <v>0.46458333333333335</v>
      </c>
      <c r="G175" t="s">
        <v>68</v>
      </c>
      <c r="H175" t="s">
        <v>77</v>
      </c>
      <c r="I175" t="s">
        <v>31</v>
      </c>
      <c r="J175" t="s">
        <v>82</v>
      </c>
      <c r="K175" t="s">
        <v>90</v>
      </c>
      <c r="L175" t="s">
        <v>34</v>
      </c>
      <c r="M175">
        <v>2</v>
      </c>
      <c r="N175">
        <v>4</v>
      </c>
      <c r="O175">
        <v>1</v>
      </c>
      <c r="P175">
        <v>3</v>
      </c>
      <c r="Q175">
        <v>1</v>
      </c>
      <c r="R175">
        <v>7</v>
      </c>
      <c r="S175" t="s">
        <v>85</v>
      </c>
      <c r="T175" t="s">
        <v>70</v>
      </c>
      <c r="U175" t="s">
        <v>37</v>
      </c>
      <c r="V175">
        <v>27</v>
      </c>
      <c r="W175" t="s">
        <v>147</v>
      </c>
      <c r="X175" t="s">
        <v>237</v>
      </c>
      <c r="Y175" t="s">
        <v>200</v>
      </c>
    </row>
    <row r="176" spans="1:25" x14ac:dyDescent="0.45">
      <c r="A176" t="s">
        <v>596</v>
      </c>
      <c r="B176" t="s">
        <v>25</v>
      </c>
      <c r="C176" s="3" t="s">
        <v>26</v>
      </c>
      <c r="D176" s="3">
        <f t="shared" si="4"/>
        <v>44840</v>
      </c>
      <c r="E176" t="s">
        <v>595</v>
      </c>
      <c r="F176" s="4">
        <f t="shared" si="5"/>
        <v>0.46458333333333335</v>
      </c>
      <c r="G176" t="s">
        <v>135</v>
      </c>
      <c r="H176" t="s">
        <v>52</v>
      </c>
      <c r="I176" t="s">
        <v>31</v>
      </c>
      <c r="J176" t="s">
        <v>44</v>
      </c>
      <c r="K176" t="s">
        <v>45</v>
      </c>
      <c r="L176" t="s">
        <v>34</v>
      </c>
      <c r="M176">
        <v>2</v>
      </c>
      <c r="N176">
        <v>4</v>
      </c>
      <c r="O176">
        <v>5</v>
      </c>
      <c r="P176">
        <v>5</v>
      </c>
      <c r="Q176">
        <v>4</v>
      </c>
      <c r="R176">
        <v>6</v>
      </c>
      <c r="S176" t="s">
        <v>69</v>
      </c>
      <c r="T176" t="s">
        <v>70</v>
      </c>
      <c r="U176" t="s">
        <v>37</v>
      </c>
      <c r="V176">
        <v>22</v>
      </c>
      <c r="W176" t="s">
        <v>38</v>
      </c>
      <c r="X176" t="s">
        <v>237</v>
      </c>
      <c r="Y176" t="s">
        <v>39</v>
      </c>
    </row>
    <row r="177" spans="1:25" x14ac:dyDescent="0.45">
      <c r="A177" t="s">
        <v>597</v>
      </c>
      <c r="B177" t="s">
        <v>25</v>
      </c>
      <c r="C177" s="3" t="s">
        <v>26</v>
      </c>
      <c r="D177" s="3">
        <f t="shared" si="4"/>
        <v>44840</v>
      </c>
      <c r="E177" t="s">
        <v>598</v>
      </c>
      <c r="F177" s="4">
        <f t="shared" si="5"/>
        <v>0.46597222222222223</v>
      </c>
      <c r="G177" t="s">
        <v>283</v>
      </c>
      <c r="H177" t="s">
        <v>30</v>
      </c>
      <c r="I177" t="s">
        <v>43</v>
      </c>
      <c r="J177" t="s">
        <v>94</v>
      </c>
      <c r="K177" t="s">
        <v>33</v>
      </c>
      <c r="L177" t="s">
        <v>34</v>
      </c>
      <c r="M177">
        <v>3</v>
      </c>
      <c r="N177">
        <v>3</v>
      </c>
      <c r="O177">
        <v>4</v>
      </c>
      <c r="P177">
        <v>1</v>
      </c>
      <c r="Q177">
        <v>2</v>
      </c>
      <c r="R177">
        <v>2</v>
      </c>
      <c r="S177" t="s">
        <v>85</v>
      </c>
      <c r="T177" t="s">
        <v>70</v>
      </c>
      <c r="U177" t="s">
        <v>37</v>
      </c>
      <c r="V177">
        <v>29</v>
      </c>
      <c r="W177" t="s">
        <v>38</v>
      </c>
      <c r="X177" t="s">
        <v>240</v>
      </c>
      <c r="Y177" t="s">
        <v>39</v>
      </c>
    </row>
    <row r="178" spans="1:25" x14ac:dyDescent="0.45">
      <c r="A178" t="s">
        <v>599</v>
      </c>
      <c r="B178" t="s">
        <v>25</v>
      </c>
      <c r="C178" s="3" t="s">
        <v>26</v>
      </c>
      <c r="D178" s="3">
        <f t="shared" si="4"/>
        <v>44840</v>
      </c>
      <c r="E178" t="s">
        <v>600</v>
      </c>
      <c r="F178" s="4">
        <f t="shared" si="5"/>
        <v>0.46736111111111112</v>
      </c>
      <c r="G178" t="s">
        <v>313</v>
      </c>
      <c r="H178" t="s">
        <v>30</v>
      </c>
      <c r="I178" t="s">
        <v>43</v>
      </c>
      <c r="J178" t="s">
        <v>94</v>
      </c>
      <c r="K178" t="s">
        <v>33</v>
      </c>
      <c r="L178" t="s">
        <v>34</v>
      </c>
      <c r="M178">
        <v>8</v>
      </c>
      <c r="N178">
        <v>10</v>
      </c>
      <c r="O178">
        <v>10</v>
      </c>
      <c r="P178">
        <v>8</v>
      </c>
      <c r="Q178">
        <v>5</v>
      </c>
      <c r="R178">
        <v>7</v>
      </c>
      <c r="S178" t="s">
        <v>85</v>
      </c>
      <c r="T178" t="s">
        <v>56</v>
      </c>
      <c r="U178" t="s">
        <v>65</v>
      </c>
      <c r="V178">
        <v>31</v>
      </c>
      <c r="W178" t="s">
        <v>38</v>
      </c>
      <c r="X178" t="s">
        <v>240</v>
      </c>
      <c r="Y178" t="s">
        <v>39</v>
      </c>
    </row>
    <row r="179" spans="1:25" x14ac:dyDescent="0.45">
      <c r="A179" t="s">
        <v>601</v>
      </c>
      <c r="B179" t="s">
        <v>25</v>
      </c>
      <c r="C179" s="3" t="s">
        <v>26</v>
      </c>
      <c r="D179" s="3">
        <f t="shared" si="4"/>
        <v>44840</v>
      </c>
      <c r="E179" t="s">
        <v>600</v>
      </c>
      <c r="F179" s="4">
        <f t="shared" si="5"/>
        <v>0.46736111111111112</v>
      </c>
      <c r="G179" t="s">
        <v>504</v>
      </c>
      <c r="H179" t="s">
        <v>30</v>
      </c>
      <c r="I179" t="s">
        <v>43</v>
      </c>
      <c r="J179" t="s">
        <v>94</v>
      </c>
      <c r="K179" t="s">
        <v>103</v>
      </c>
      <c r="L179" t="s">
        <v>34</v>
      </c>
      <c r="M179">
        <v>4</v>
      </c>
      <c r="N179">
        <v>5</v>
      </c>
      <c r="O179">
        <v>5</v>
      </c>
      <c r="P179">
        <v>5</v>
      </c>
      <c r="Q179">
        <v>4</v>
      </c>
      <c r="R179">
        <v>4</v>
      </c>
      <c r="S179" t="s">
        <v>55</v>
      </c>
      <c r="T179" t="s">
        <v>36</v>
      </c>
      <c r="U179" t="s">
        <v>37</v>
      </c>
      <c r="V179">
        <v>28</v>
      </c>
      <c r="W179" t="s">
        <v>38</v>
      </c>
      <c r="X179" t="s">
        <v>237</v>
      </c>
      <c r="Y179" t="s">
        <v>39</v>
      </c>
    </row>
    <row r="180" spans="1:25" x14ac:dyDescent="0.45">
      <c r="A180" t="s">
        <v>602</v>
      </c>
      <c r="B180" t="s">
        <v>25</v>
      </c>
      <c r="C180" s="3" t="s">
        <v>26</v>
      </c>
      <c r="D180" s="3">
        <f t="shared" si="4"/>
        <v>44840</v>
      </c>
      <c r="E180" t="s">
        <v>603</v>
      </c>
      <c r="F180" s="4">
        <f t="shared" si="5"/>
        <v>0.46805555555555556</v>
      </c>
      <c r="G180" t="s">
        <v>507</v>
      </c>
      <c r="H180" t="s">
        <v>123</v>
      </c>
      <c r="I180" t="s">
        <v>43</v>
      </c>
      <c r="J180" t="s">
        <v>53</v>
      </c>
      <c r="K180" t="s">
        <v>33</v>
      </c>
      <c r="L180" t="s">
        <v>34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85</v>
      </c>
      <c r="T180" t="s">
        <v>56</v>
      </c>
      <c r="U180" t="s">
        <v>37</v>
      </c>
      <c r="V180">
        <v>24</v>
      </c>
      <c r="W180" t="s">
        <v>38</v>
      </c>
      <c r="X180" t="s">
        <v>240</v>
      </c>
      <c r="Y180" t="s">
        <v>48</v>
      </c>
    </row>
    <row r="181" spans="1:25" x14ac:dyDescent="0.45">
      <c r="A181" t="s">
        <v>604</v>
      </c>
      <c r="B181" t="s">
        <v>25</v>
      </c>
      <c r="C181" s="3" t="s">
        <v>26</v>
      </c>
      <c r="D181" s="3">
        <f t="shared" si="4"/>
        <v>44840</v>
      </c>
      <c r="E181" t="s">
        <v>605</v>
      </c>
      <c r="F181" s="4">
        <f t="shared" si="5"/>
        <v>0.46875</v>
      </c>
      <c r="G181" t="s">
        <v>322</v>
      </c>
      <c r="H181" t="s">
        <v>30</v>
      </c>
      <c r="I181" t="s">
        <v>43</v>
      </c>
      <c r="J181" t="s">
        <v>87</v>
      </c>
      <c r="K181" t="s">
        <v>606</v>
      </c>
      <c r="L181" t="s">
        <v>607</v>
      </c>
      <c r="M181">
        <v>4</v>
      </c>
      <c r="N181">
        <v>5</v>
      </c>
      <c r="O181">
        <v>3</v>
      </c>
      <c r="P181">
        <v>4</v>
      </c>
      <c r="Q181">
        <v>2</v>
      </c>
      <c r="R181">
        <v>3</v>
      </c>
      <c r="S181" t="s">
        <v>55</v>
      </c>
      <c r="T181" t="s">
        <v>114</v>
      </c>
      <c r="U181" t="s">
        <v>37</v>
      </c>
      <c r="V181">
        <v>34</v>
      </c>
      <c r="W181" t="s">
        <v>38</v>
      </c>
      <c r="X181" t="s">
        <v>240</v>
      </c>
      <c r="Y181" t="s">
        <v>39</v>
      </c>
    </row>
    <row r="182" spans="1:25" x14ac:dyDescent="0.45">
      <c r="A182" t="s">
        <v>608</v>
      </c>
      <c r="B182" t="s">
        <v>25</v>
      </c>
      <c r="C182" s="3" t="s">
        <v>26</v>
      </c>
      <c r="D182" s="3">
        <f t="shared" si="4"/>
        <v>44840</v>
      </c>
      <c r="E182" t="s">
        <v>609</v>
      </c>
      <c r="F182" s="4">
        <f t="shared" si="5"/>
        <v>0.47083333333333333</v>
      </c>
      <c r="G182" t="s">
        <v>490</v>
      </c>
      <c r="H182" t="s">
        <v>52</v>
      </c>
      <c r="I182" t="s">
        <v>43</v>
      </c>
      <c r="J182" t="s">
        <v>87</v>
      </c>
      <c r="K182" t="s">
        <v>103</v>
      </c>
      <c r="L182" t="s">
        <v>34</v>
      </c>
      <c r="M182">
        <v>5</v>
      </c>
      <c r="N182">
        <v>3</v>
      </c>
      <c r="O182">
        <v>5</v>
      </c>
      <c r="P182">
        <v>5</v>
      </c>
      <c r="Q182">
        <v>4</v>
      </c>
      <c r="R182">
        <v>5</v>
      </c>
      <c r="S182" t="s">
        <v>69</v>
      </c>
      <c r="T182" t="s">
        <v>70</v>
      </c>
      <c r="U182" t="s">
        <v>37</v>
      </c>
      <c r="V182">
        <v>23</v>
      </c>
      <c r="W182" t="s">
        <v>38</v>
      </c>
      <c r="X182" t="s">
        <v>237</v>
      </c>
      <c r="Y182" t="s">
        <v>39</v>
      </c>
    </row>
    <row r="183" spans="1:25" x14ac:dyDescent="0.45">
      <c r="A183" t="s">
        <v>610</v>
      </c>
      <c r="B183" t="s">
        <v>25</v>
      </c>
      <c r="C183" s="3" t="s">
        <v>26</v>
      </c>
      <c r="D183" s="3">
        <f t="shared" si="4"/>
        <v>44840</v>
      </c>
      <c r="E183" t="s">
        <v>609</v>
      </c>
      <c r="F183" s="4">
        <f t="shared" si="5"/>
        <v>0.47083333333333333</v>
      </c>
      <c r="G183" t="s">
        <v>173</v>
      </c>
      <c r="H183" t="s">
        <v>123</v>
      </c>
      <c r="I183" t="s">
        <v>43</v>
      </c>
      <c r="J183" t="s">
        <v>44</v>
      </c>
      <c r="K183" t="s">
        <v>113</v>
      </c>
      <c r="L183" t="s">
        <v>611</v>
      </c>
      <c r="M183">
        <v>10</v>
      </c>
      <c r="N183">
        <v>4</v>
      </c>
      <c r="O183">
        <v>10</v>
      </c>
      <c r="P183">
        <v>10</v>
      </c>
      <c r="Q183">
        <v>4</v>
      </c>
      <c r="R183">
        <v>10</v>
      </c>
      <c r="S183" t="s">
        <v>85</v>
      </c>
      <c r="T183" t="s">
        <v>36</v>
      </c>
      <c r="U183" t="s">
        <v>37</v>
      </c>
      <c r="V183">
        <v>32</v>
      </c>
      <c r="W183" t="s">
        <v>612</v>
      </c>
      <c r="X183" t="s">
        <v>240</v>
      </c>
      <c r="Y183" t="s">
        <v>39</v>
      </c>
    </row>
    <row r="184" spans="1:25" x14ac:dyDescent="0.45">
      <c r="A184" t="s">
        <v>613</v>
      </c>
      <c r="B184" t="s">
        <v>25</v>
      </c>
      <c r="C184" s="3" t="s">
        <v>26</v>
      </c>
      <c r="D184" s="3">
        <f t="shared" si="4"/>
        <v>44840</v>
      </c>
      <c r="E184" t="s">
        <v>614</v>
      </c>
      <c r="F184" s="4">
        <f t="shared" si="5"/>
        <v>0.47222222222222221</v>
      </c>
      <c r="G184" t="s">
        <v>615</v>
      </c>
      <c r="H184" t="s">
        <v>30</v>
      </c>
      <c r="I184" t="s">
        <v>31</v>
      </c>
      <c r="J184" t="s">
        <v>53</v>
      </c>
      <c r="K184" t="s">
        <v>33</v>
      </c>
      <c r="L184" t="s">
        <v>46</v>
      </c>
      <c r="M184">
        <v>6</v>
      </c>
      <c r="N184">
        <v>8</v>
      </c>
      <c r="O184">
        <v>6</v>
      </c>
      <c r="P184">
        <v>6</v>
      </c>
      <c r="Q184">
        <v>8</v>
      </c>
      <c r="R184">
        <v>10</v>
      </c>
      <c r="S184" t="s">
        <v>55</v>
      </c>
      <c r="T184" t="s">
        <v>36</v>
      </c>
      <c r="U184" t="s">
        <v>37</v>
      </c>
      <c r="V184">
        <v>29</v>
      </c>
      <c r="W184" t="s">
        <v>104</v>
      </c>
      <c r="X184" t="s">
        <v>227</v>
      </c>
      <c r="Y184" t="s">
        <v>91</v>
      </c>
    </row>
    <row r="185" spans="1:25" x14ac:dyDescent="0.45">
      <c r="A185" t="s">
        <v>616</v>
      </c>
      <c r="B185" t="s">
        <v>25</v>
      </c>
      <c r="C185" s="3" t="s">
        <v>26</v>
      </c>
      <c r="D185" s="3">
        <f t="shared" si="4"/>
        <v>44840</v>
      </c>
      <c r="E185" t="s">
        <v>617</v>
      </c>
      <c r="F185" s="4">
        <f t="shared" si="5"/>
        <v>0.47361111111111109</v>
      </c>
      <c r="G185" t="s">
        <v>504</v>
      </c>
      <c r="H185" t="s">
        <v>30</v>
      </c>
      <c r="I185" t="s">
        <v>31</v>
      </c>
      <c r="J185" t="s">
        <v>53</v>
      </c>
      <c r="K185" t="s">
        <v>108</v>
      </c>
      <c r="L185" t="s">
        <v>34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35</v>
      </c>
      <c r="T185" t="s">
        <v>70</v>
      </c>
      <c r="U185" t="s">
        <v>37</v>
      </c>
      <c r="V185">
        <v>34</v>
      </c>
      <c r="W185" t="s">
        <v>57</v>
      </c>
      <c r="X185" t="s">
        <v>237</v>
      </c>
      <c r="Y185" t="s">
        <v>58</v>
      </c>
    </row>
    <row r="186" spans="1:25" x14ac:dyDescent="0.45">
      <c r="A186" t="s">
        <v>618</v>
      </c>
      <c r="B186" t="s">
        <v>25</v>
      </c>
      <c r="C186" s="3" t="s">
        <v>26</v>
      </c>
      <c r="D186" s="3">
        <f t="shared" si="4"/>
        <v>44840</v>
      </c>
      <c r="E186" t="s">
        <v>617</v>
      </c>
      <c r="F186" s="4">
        <f t="shared" si="5"/>
        <v>0.47361111111111109</v>
      </c>
      <c r="G186" t="s">
        <v>107</v>
      </c>
      <c r="H186" t="s">
        <v>30</v>
      </c>
      <c r="I186" t="s">
        <v>43</v>
      </c>
      <c r="J186" t="s">
        <v>94</v>
      </c>
      <c r="K186" t="s">
        <v>45</v>
      </c>
      <c r="L186" t="s">
        <v>34</v>
      </c>
      <c r="M186">
        <v>7</v>
      </c>
      <c r="N186">
        <v>5</v>
      </c>
      <c r="O186">
        <v>5</v>
      </c>
      <c r="P186">
        <v>7</v>
      </c>
      <c r="Q186">
        <v>9</v>
      </c>
      <c r="R186">
        <v>10</v>
      </c>
      <c r="S186" t="s">
        <v>64</v>
      </c>
      <c r="T186" t="s">
        <v>36</v>
      </c>
      <c r="U186" t="s">
        <v>37</v>
      </c>
      <c r="V186">
        <v>24</v>
      </c>
      <c r="W186" t="s">
        <v>109</v>
      </c>
      <c r="X186" t="s">
        <v>237</v>
      </c>
      <c r="Y186" t="s">
        <v>39</v>
      </c>
    </row>
    <row r="187" spans="1:25" x14ac:dyDescent="0.45">
      <c r="A187" t="s">
        <v>619</v>
      </c>
      <c r="B187" t="s">
        <v>25</v>
      </c>
      <c r="C187" s="3" t="s">
        <v>26</v>
      </c>
      <c r="D187" s="3">
        <f t="shared" si="4"/>
        <v>44840</v>
      </c>
      <c r="E187" t="s">
        <v>620</v>
      </c>
      <c r="F187" s="4">
        <f t="shared" si="5"/>
        <v>0.47430555555555554</v>
      </c>
      <c r="G187" t="s">
        <v>621</v>
      </c>
      <c r="H187" t="s">
        <v>622</v>
      </c>
      <c r="I187" t="s">
        <v>43</v>
      </c>
      <c r="J187" t="s">
        <v>94</v>
      </c>
      <c r="K187" t="s">
        <v>103</v>
      </c>
      <c r="L187" t="s">
        <v>34</v>
      </c>
      <c r="M187">
        <v>0</v>
      </c>
      <c r="N187">
        <v>10</v>
      </c>
      <c r="O187">
        <v>6</v>
      </c>
      <c r="P187">
        <v>0</v>
      </c>
      <c r="Q187">
        <v>0</v>
      </c>
      <c r="R187">
        <v>0</v>
      </c>
      <c r="S187" t="s">
        <v>69</v>
      </c>
      <c r="T187" t="s">
        <v>70</v>
      </c>
      <c r="U187" t="s">
        <v>37</v>
      </c>
      <c r="V187">
        <v>30</v>
      </c>
      <c r="W187" t="s">
        <v>38</v>
      </c>
      <c r="X187" t="s">
        <v>237</v>
      </c>
      <c r="Y187" t="s">
        <v>200</v>
      </c>
    </row>
    <row r="188" spans="1:25" x14ac:dyDescent="0.45">
      <c r="A188" t="s">
        <v>623</v>
      </c>
      <c r="B188" t="s">
        <v>25</v>
      </c>
      <c r="C188" s="3" t="s">
        <v>26</v>
      </c>
      <c r="D188" s="3">
        <f t="shared" si="4"/>
        <v>44840</v>
      </c>
      <c r="E188" t="s">
        <v>624</v>
      </c>
      <c r="F188" s="4">
        <f t="shared" si="5"/>
        <v>0.47569444444444442</v>
      </c>
      <c r="G188" t="s">
        <v>234</v>
      </c>
      <c r="H188" t="s">
        <v>625</v>
      </c>
      <c r="I188" t="s">
        <v>43</v>
      </c>
      <c r="J188" t="s">
        <v>87</v>
      </c>
      <c r="K188" t="s">
        <v>626</v>
      </c>
      <c r="L188" t="s">
        <v>34</v>
      </c>
      <c r="M188">
        <v>5</v>
      </c>
      <c r="N188">
        <v>5</v>
      </c>
      <c r="O188">
        <v>6</v>
      </c>
      <c r="P188">
        <v>4</v>
      </c>
      <c r="Q188">
        <v>5</v>
      </c>
      <c r="R188">
        <v>5</v>
      </c>
      <c r="S188" t="s">
        <v>69</v>
      </c>
      <c r="T188" t="s">
        <v>70</v>
      </c>
      <c r="U188" t="s">
        <v>37</v>
      </c>
      <c r="V188">
        <v>24</v>
      </c>
      <c r="W188" t="s">
        <v>38</v>
      </c>
      <c r="X188" t="s">
        <v>240</v>
      </c>
      <c r="Y188" t="s">
        <v>91</v>
      </c>
    </row>
    <row r="189" spans="1:25" x14ac:dyDescent="0.45">
      <c r="A189" t="s">
        <v>627</v>
      </c>
      <c r="B189" t="s">
        <v>25</v>
      </c>
      <c r="C189" s="3" t="s">
        <v>26</v>
      </c>
      <c r="D189" s="3">
        <f t="shared" si="4"/>
        <v>44840</v>
      </c>
      <c r="E189" t="s">
        <v>624</v>
      </c>
      <c r="F189" s="4">
        <f t="shared" si="5"/>
        <v>0.47569444444444442</v>
      </c>
      <c r="G189" t="s">
        <v>196</v>
      </c>
      <c r="H189" t="s">
        <v>30</v>
      </c>
      <c r="I189" t="s">
        <v>31</v>
      </c>
      <c r="J189" t="s">
        <v>44</v>
      </c>
      <c r="K189" t="s">
        <v>151</v>
      </c>
      <c r="L189" t="s">
        <v>34</v>
      </c>
      <c r="M189">
        <v>6</v>
      </c>
      <c r="N189">
        <v>8</v>
      </c>
      <c r="O189">
        <v>10</v>
      </c>
      <c r="P189">
        <v>9</v>
      </c>
      <c r="Q189">
        <v>7</v>
      </c>
      <c r="R189">
        <v>9</v>
      </c>
      <c r="S189" t="s">
        <v>55</v>
      </c>
      <c r="T189" t="s">
        <v>70</v>
      </c>
      <c r="U189" t="s">
        <v>37</v>
      </c>
      <c r="V189">
        <v>27</v>
      </c>
      <c r="W189" t="s">
        <v>38</v>
      </c>
      <c r="X189" t="s">
        <v>237</v>
      </c>
      <c r="Y189" t="s">
        <v>628</v>
      </c>
    </row>
    <row r="190" spans="1:25" x14ac:dyDescent="0.45">
      <c r="A190" t="s">
        <v>629</v>
      </c>
      <c r="B190" t="s">
        <v>25</v>
      </c>
      <c r="C190" s="3" t="s">
        <v>26</v>
      </c>
      <c r="D190" s="3">
        <f t="shared" si="4"/>
        <v>44840</v>
      </c>
      <c r="E190" t="s">
        <v>630</v>
      </c>
      <c r="F190" s="4">
        <f t="shared" si="5"/>
        <v>0.47847222222222224</v>
      </c>
      <c r="G190" t="s">
        <v>168</v>
      </c>
      <c r="H190" t="s">
        <v>30</v>
      </c>
      <c r="I190" t="s">
        <v>43</v>
      </c>
      <c r="J190" t="s">
        <v>53</v>
      </c>
      <c r="K190" t="s">
        <v>45</v>
      </c>
      <c r="L190" t="s">
        <v>34</v>
      </c>
      <c r="M190">
        <v>1</v>
      </c>
      <c r="N190">
        <v>2</v>
      </c>
      <c r="O190">
        <v>4</v>
      </c>
      <c r="P190">
        <v>4</v>
      </c>
      <c r="Q190">
        <v>4</v>
      </c>
      <c r="R190">
        <v>5</v>
      </c>
      <c r="S190" t="s">
        <v>85</v>
      </c>
      <c r="T190" t="s">
        <v>70</v>
      </c>
      <c r="U190" t="s">
        <v>37</v>
      </c>
      <c r="V190">
        <v>21</v>
      </c>
      <c r="W190" t="s">
        <v>147</v>
      </c>
      <c r="X190" t="s">
        <v>237</v>
      </c>
      <c r="Y190" t="s">
        <v>48</v>
      </c>
    </row>
    <row r="191" spans="1:25" x14ac:dyDescent="0.45">
      <c r="A191" t="s">
        <v>631</v>
      </c>
      <c r="B191" t="s">
        <v>25</v>
      </c>
      <c r="C191" s="3" t="s">
        <v>26</v>
      </c>
      <c r="D191" s="3">
        <f t="shared" si="4"/>
        <v>44840</v>
      </c>
      <c r="E191" t="s">
        <v>632</v>
      </c>
      <c r="F191" s="4">
        <f t="shared" si="5"/>
        <v>0.48541666666666666</v>
      </c>
      <c r="G191" t="s">
        <v>176</v>
      </c>
      <c r="H191" t="s">
        <v>30</v>
      </c>
      <c r="I191" t="s">
        <v>43</v>
      </c>
      <c r="J191" t="s">
        <v>53</v>
      </c>
      <c r="K191" t="s">
        <v>95</v>
      </c>
      <c r="L191" t="s">
        <v>34</v>
      </c>
      <c r="M191">
        <v>3</v>
      </c>
      <c r="N191">
        <v>5</v>
      </c>
      <c r="O191">
        <v>9</v>
      </c>
      <c r="P191">
        <v>9</v>
      </c>
      <c r="Q191" t="s">
        <v>28</v>
      </c>
      <c r="R191">
        <v>8</v>
      </c>
      <c r="S191" t="s">
        <v>35</v>
      </c>
      <c r="T191" t="s">
        <v>633</v>
      </c>
      <c r="U191" t="s">
        <v>37</v>
      </c>
      <c r="V191">
        <v>31</v>
      </c>
      <c r="W191" t="s">
        <v>634</v>
      </c>
      <c r="X191" t="s">
        <v>240</v>
      </c>
      <c r="Y191" t="s">
        <v>58</v>
      </c>
    </row>
    <row r="192" spans="1:25" x14ac:dyDescent="0.45">
      <c r="A192" t="s">
        <v>635</v>
      </c>
      <c r="B192" t="s">
        <v>25</v>
      </c>
      <c r="C192" s="3" t="s">
        <v>26</v>
      </c>
      <c r="D192" s="3">
        <f t="shared" si="4"/>
        <v>44840</v>
      </c>
      <c r="E192" t="s">
        <v>636</v>
      </c>
      <c r="F192" s="4">
        <f t="shared" si="5"/>
        <v>0.4861111111111111</v>
      </c>
      <c r="G192" t="s">
        <v>193</v>
      </c>
      <c r="H192" t="s">
        <v>30</v>
      </c>
      <c r="I192" t="s">
        <v>31</v>
      </c>
      <c r="J192" t="s">
        <v>53</v>
      </c>
      <c r="K192" t="s">
        <v>90</v>
      </c>
      <c r="L192" t="s">
        <v>46</v>
      </c>
      <c r="M192">
        <v>5</v>
      </c>
      <c r="N192">
        <v>7</v>
      </c>
      <c r="O192">
        <v>5</v>
      </c>
      <c r="P192">
        <v>5</v>
      </c>
      <c r="Q192">
        <v>5</v>
      </c>
      <c r="R192">
        <v>7</v>
      </c>
      <c r="S192" t="s">
        <v>69</v>
      </c>
      <c r="T192" t="s">
        <v>70</v>
      </c>
      <c r="U192" t="s">
        <v>37</v>
      </c>
      <c r="V192">
        <v>41</v>
      </c>
      <c r="W192" t="s">
        <v>444</v>
      </c>
      <c r="X192" t="s">
        <v>237</v>
      </c>
      <c r="Y192" t="s">
        <v>39</v>
      </c>
    </row>
    <row r="193" spans="1:25" x14ac:dyDescent="0.45">
      <c r="A193" t="s">
        <v>637</v>
      </c>
      <c r="B193" t="s">
        <v>25</v>
      </c>
      <c r="C193" s="3" t="s">
        <v>26</v>
      </c>
      <c r="D193" s="3">
        <f t="shared" si="4"/>
        <v>44840</v>
      </c>
      <c r="E193" t="s">
        <v>638</v>
      </c>
      <c r="F193" s="4">
        <f t="shared" si="5"/>
        <v>0.48958333333333331</v>
      </c>
      <c r="G193" t="s">
        <v>150</v>
      </c>
      <c r="H193" t="s">
        <v>30</v>
      </c>
      <c r="I193" t="s">
        <v>31</v>
      </c>
      <c r="J193" t="s">
        <v>53</v>
      </c>
      <c r="K193" t="s">
        <v>103</v>
      </c>
      <c r="L193" t="s">
        <v>34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2</v>
      </c>
      <c r="S193" t="s">
        <v>69</v>
      </c>
      <c r="T193" t="s">
        <v>70</v>
      </c>
      <c r="U193" t="s">
        <v>37</v>
      </c>
      <c r="V193">
        <v>25</v>
      </c>
      <c r="W193" t="s">
        <v>147</v>
      </c>
      <c r="X193" t="s">
        <v>237</v>
      </c>
      <c r="Y193" t="s">
        <v>48</v>
      </c>
    </row>
    <row r="194" spans="1:25" x14ac:dyDescent="0.45">
      <c r="A194" t="s">
        <v>639</v>
      </c>
      <c r="B194" t="s">
        <v>25</v>
      </c>
      <c r="C194" s="3" t="s">
        <v>26</v>
      </c>
      <c r="D194" s="3">
        <f t="shared" si="4"/>
        <v>44840</v>
      </c>
      <c r="E194" t="s">
        <v>640</v>
      </c>
      <c r="F194" s="4">
        <f t="shared" si="5"/>
        <v>0.49027777777777776</v>
      </c>
      <c r="G194" t="s">
        <v>641</v>
      </c>
      <c r="H194" t="s">
        <v>30</v>
      </c>
      <c r="I194" t="s">
        <v>43</v>
      </c>
      <c r="J194" t="s">
        <v>53</v>
      </c>
      <c r="K194" t="s">
        <v>45</v>
      </c>
      <c r="L194" t="s">
        <v>642</v>
      </c>
      <c r="M194">
        <v>4</v>
      </c>
      <c r="N194">
        <v>7</v>
      </c>
      <c r="O194">
        <v>8</v>
      </c>
      <c r="P194">
        <v>8</v>
      </c>
      <c r="Q194">
        <v>8</v>
      </c>
      <c r="R194">
        <v>9</v>
      </c>
      <c r="S194" t="s">
        <v>85</v>
      </c>
      <c r="T194" t="s">
        <v>643</v>
      </c>
      <c r="U194" t="s">
        <v>37</v>
      </c>
      <c r="V194">
        <v>24</v>
      </c>
      <c r="W194" t="s">
        <v>419</v>
      </c>
      <c r="X194" t="s">
        <v>237</v>
      </c>
      <c r="Y194" t="s">
        <v>58</v>
      </c>
    </row>
    <row r="195" spans="1:25" x14ac:dyDescent="0.45">
      <c r="A195" t="s">
        <v>644</v>
      </c>
      <c r="B195" t="s">
        <v>25</v>
      </c>
      <c r="C195" s="3" t="s">
        <v>26</v>
      </c>
      <c r="D195" s="3">
        <f t="shared" ref="D195:D258" si="6">DATEVALUE(C195)</f>
        <v>44840</v>
      </c>
      <c r="E195" t="s">
        <v>645</v>
      </c>
      <c r="F195" s="4">
        <f t="shared" ref="F195:F258" si="7">TIMEVALUE(E195)</f>
        <v>0.4909722222222222</v>
      </c>
      <c r="G195" t="s">
        <v>646</v>
      </c>
      <c r="H195" t="s">
        <v>30</v>
      </c>
      <c r="I195" t="s">
        <v>43</v>
      </c>
      <c r="J195" t="s">
        <v>53</v>
      </c>
      <c r="K195" t="s">
        <v>45</v>
      </c>
      <c r="L195" t="s">
        <v>34</v>
      </c>
      <c r="M195">
        <v>6</v>
      </c>
      <c r="N195">
        <v>5</v>
      </c>
      <c r="O195">
        <v>6</v>
      </c>
      <c r="P195">
        <v>5</v>
      </c>
      <c r="Q195">
        <v>6</v>
      </c>
      <c r="R195">
        <v>6</v>
      </c>
      <c r="S195" t="s">
        <v>85</v>
      </c>
      <c r="T195" t="s">
        <v>70</v>
      </c>
      <c r="U195" t="s">
        <v>37</v>
      </c>
      <c r="V195">
        <v>30</v>
      </c>
      <c r="W195" t="s">
        <v>647</v>
      </c>
      <c r="X195" t="s">
        <v>240</v>
      </c>
      <c r="Y195" t="s">
        <v>648</v>
      </c>
    </row>
    <row r="196" spans="1:25" x14ac:dyDescent="0.45">
      <c r="A196" t="s">
        <v>649</v>
      </c>
      <c r="B196" t="s">
        <v>25</v>
      </c>
      <c r="C196" s="3" t="s">
        <v>26</v>
      </c>
      <c r="D196" s="3">
        <f t="shared" si="6"/>
        <v>44840</v>
      </c>
      <c r="E196" t="s">
        <v>650</v>
      </c>
      <c r="F196" s="4">
        <f t="shared" si="7"/>
        <v>0.49166666666666664</v>
      </c>
      <c r="G196" t="s">
        <v>651</v>
      </c>
      <c r="H196" t="s">
        <v>30</v>
      </c>
      <c r="I196" t="s">
        <v>43</v>
      </c>
      <c r="J196" t="s">
        <v>63</v>
      </c>
      <c r="K196" t="s">
        <v>45</v>
      </c>
      <c r="L196" t="s">
        <v>376</v>
      </c>
      <c r="M196">
        <v>7</v>
      </c>
      <c r="N196">
        <v>7</v>
      </c>
      <c r="O196">
        <v>7</v>
      </c>
      <c r="P196" t="s">
        <v>28</v>
      </c>
      <c r="Q196">
        <v>5</v>
      </c>
      <c r="R196">
        <v>7</v>
      </c>
      <c r="S196" t="s">
        <v>85</v>
      </c>
      <c r="T196" t="s">
        <v>56</v>
      </c>
      <c r="U196" t="s">
        <v>37</v>
      </c>
      <c r="V196">
        <v>33</v>
      </c>
      <c r="W196" t="s">
        <v>38</v>
      </c>
      <c r="X196" t="s">
        <v>237</v>
      </c>
      <c r="Y196" t="s">
        <v>39</v>
      </c>
    </row>
    <row r="197" spans="1:25" x14ac:dyDescent="0.45">
      <c r="A197" t="s">
        <v>652</v>
      </c>
      <c r="B197" t="s">
        <v>25</v>
      </c>
      <c r="C197" s="3" t="s">
        <v>26</v>
      </c>
      <c r="D197" s="3">
        <f t="shared" si="6"/>
        <v>44840</v>
      </c>
      <c r="E197" t="s">
        <v>653</v>
      </c>
      <c r="F197" s="4">
        <f t="shared" si="7"/>
        <v>0.49236111111111114</v>
      </c>
      <c r="G197" t="s">
        <v>654</v>
      </c>
      <c r="H197" t="s">
        <v>30</v>
      </c>
      <c r="I197" t="s">
        <v>43</v>
      </c>
      <c r="J197" t="s">
        <v>94</v>
      </c>
      <c r="K197" t="s">
        <v>655</v>
      </c>
      <c r="L197" t="s">
        <v>656</v>
      </c>
      <c r="M197">
        <v>7</v>
      </c>
      <c r="N197">
        <v>4</v>
      </c>
      <c r="O197">
        <v>10</v>
      </c>
      <c r="P197">
        <v>9</v>
      </c>
      <c r="Q197">
        <v>7</v>
      </c>
      <c r="R197">
        <v>10</v>
      </c>
      <c r="S197" t="s">
        <v>69</v>
      </c>
      <c r="T197" t="s">
        <v>70</v>
      </c>
      <c r="U197" t="s">
        <v>37</v>
      </c>
      <c r="V197">
        <v>23</v>
      </c>
      <c r="W197" t="s">
        <v>38</v>
      </c>
      <c r="X197" t="s">
        <v>237</v>
      </c>
      <c r="Y197" t="s">
        <v>91</v>
      </c>
    </row>
    <row r="198" spans="1:25" x14ac:dyDescent="0.45">
      <c r="A198" t="s">
        <v>657</v>
      </c>
      <c r="B198" t="s">
        <v>25</v>
      </c>
      <c r="C198" s="3" t="s">
        <v>26</v>
      </c>
      <c r="D198" s="3">
        <f t="shared" si="6"/>
        <v>44840</v>
      </c>
      <c r="E198" t="s">
        <v>653</v>
      </c>
      <c r="F198" s="4">
        <f t="shared" si="7"/>
        <v>0.49236111111111114</v>
      </c>
      <c r="G198" t="s">
        <v>157</v>
      </c>
      <c r="H198" t="s">
        <v>30</v>
      </c>
      <c r="I198" t="s">
        <v>31</v>
      </c>
      <c r="J198" t="s">
        <v>94</v>
      </c>
      <c r="K198" t="s">
        <v>103</v>
      </c>
      <c r="L198" t="s">
        <v>34</v>
      </c>
      <c r="M198">
        <v>6</v>
      </c>
      <c r="N198">
        <v>6</v>
      </c>
      <c r="O198">
        <v>6</v>
      </c>
      <c r="P198">
        <v>6</v>
      </c>
      <c r="Q198">
        <v>6</v>
      </c>
      <c r="R198">
        <v>6</v>
      </c>
      <c r="S198" t="s">
        <v>69</v>
      </c>
      <c r="T198" t="s">
        <v>36</v>
      </c>
      <c r="U198" t="s">
        <v>65</v>
      </c>
      <c r="V198">
        <v>33</v>
      </c>
      <c r="W198" t="s">
        <v>109</v>
      </c>
      <c r="X198" t="s">
        <v>240</v>
      </c>
      <c r="Y198" t="s">
        <v>48</v>
      </c>
    </row>
    <row r="199" spans="1:25" x14ac:dyDescent="0.45">
      <c r="A199" t="s">
        <v>658</v>
      </c>
      <c r="B199" t="s">
        <v>25</v>
      </c>
      <c r="C199" s="3" t="s">
        <v>26</v>
      </c>
      <c r="D199" s="3">
        <f t="shared" si="6"/>
        <v>44840</v>
      </c>
      <c r="E199" t="s">
        <v>659</v>
      </c>
      <c r="F199" s="4">
        <f t="shared" si="7"/>
        <v>0.49305555555555558</v>
      </c>
      <c r="G199" t="s">
        <v>436</v>
      </c>
      <c r="H199" t="s">
        <v>30</v>
      </c>
      <c r="I199" t="s">
        <v>43</v>
      </c>
      <c r="J199" t="s">
        <v>32</v>
      </c>
      <c r="K199" t="s">
        <v>45</v>
      </c>
      <c r="L199" t="s">
        <v>34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 t="s">
        <v>85</v>
      </c>
      <c r="T199" t="s">
        <v>70</v>
      </c>
      <c r="U199" t="s">
        <v>37</v>
      </c>
      <c r="V199">
        <v>25</v>
      </c>
      <c r="W199" t="s">
        <v>38</v>
      </c>
      <c r="X199" t="s">
        <v>237</v>
      </c>
      <c r="Y199" t="s">
        <v>39</v>
      </c>
    </row>
    <row r="200" spans="1:25" x14ac:dyDescent="0.45">
      <c r="A200" t="s">
        <v>660</v>
      </c>
      <c r="B200" t="s">
        <v>25</v>
      </c>
      <c r="C200" s="3" t="s">
        <v>26</v>
      </c>
      <c r="D200" s="3">
        <f t="shared" si="6"/>
        <v>44840</v>
      </c>
      <c r="E200" t="s">
        <v>661</v>
      </c>
      <c r="F200" s="4">
        <f t="shared" si="7"/>
        <v>0.49375000000000002</v>
      </c>
      <c r="G200" t="s">
        <v>662</v>
      </c>
      <c r="H200" t="s">
        <v>30</v>
      </c>
      <c r="I200" t="s">
        <v>43</v>
      </c>
      <c r="J200" t="s">
        <v>53</v>
      </c>
      <c r="K200" t="s">
        <v>663</v>
      </c>
      <c r="L200" t="s">
        <v>34</v>
      </c>
      <c r="M200">
        <v>5</v>
      </c>
      <c r="N200">
        <v>5</v>
      </c>
      <c r="O200">
        <v>5</v>
      </c>
      <c r="P200">
        <v>5</v>
      </c>
      <c r="Q200">
        <v>5</v>
      </c>
      <c r="R200">
        <v>5</v>
      </c>
      <c r="S200" t="s">
        <v>85</v>
      </c>
      <c r="T200" t="s">
        <v>36</v>
      </c>
      <c r="U200" t="s">
        <v>65</v>
      </c>
      <c r="V200">
        <v>27</v>
      </c>
      <c r="W200" t="s">
        <v>664</v>
      </c>
      <c r="X200" t="s">
        <v>240</v>
      </c>
      <c r="Y200" t="s">
        <v>39</v>
      </c>
    </row>
    <row r="201" spans="1:25" x14ac:dyDescent="0.45">
      <c r="A201" t="s">
        <v>665</v>
      </c>
      <c r="B201" t="s">
        <v>25</v>
      </c>
      <c r="C201" s="3" t="s">
        <v>26</v>
      </c>
      <c r="D201" s="3">
        <f t="shared" si="6"/>
        <v>44840</v>
      </c>
      <c r="E201" t="s">
        <v>666</v>
      </c>
      <c r="F201" s="4">
        <f t="shared" si="7"/>
        <v>0.49513888888888891</v>
      </c>
      <c r="G201" t="s">
        <v>375</v>
      </c>
      <c r="H201" t="s">
        <v>30</v>
      </c>
      <c r="I201" t="s">
        <v>31</v>
      </c>
      <c r="J201" t="s">
        <v>53</v>
      </c>
      <c r="K201" t="s">
        <v>45</v>
      </c>
      <c r="L201" t="s">
        <v>257</v>
      </c>
      <c r="M201">
        <v>5</v>
      </c>
      <c r="N201">
        <v>10</v>
      </c>
      <c r="O201">
        <v>10</v>
      </c>
      <c r="P201">
        <v>8</v>
      </c>
      <c r="Q201">
        <v>10</v>
      </c>
      <c r="R201">
        <v>10</v>
      </c>
      <c r="S201" t="s">
        <v>64</v>
      </c>
      <c r="T201" t="s">
        <v>56</v>
      </c>
      <c r="U201" t="s">
        <v>37</v>
      </c>
      <c r="V201">
        <v>30</v>
      </c>
      <c r="W201" t="s">
        <v>109</v>
      </c>
      <c r="X201" t="s">
        <v>237</v>
      </c>
      <c r="Y201" t="s">
        <v>39</v>
      </c>
    </row>
    <row r="202" spans="1:25" x14ac:dyDescent="0.45">
      <c r="A202" t="s">
        <v>667</v>
      </c>
      <c r="B202" t="s">
        <v>25</v>
      </c>
      <c r="C202" s="3" t="s">
        <v>26</v>
      </c>
      <c r="D202" s="3">
        <f t="shared" si="6"/>
        <v>44840</v>
      </c>
      <c r="E202" t="s">
        <v>668</v>
      </c>
      <c r="F202" s="4">
        <f t="shared" si="7"/>
        <v>0.49583333333333335</v>
      </c>
      <c r="G202" t="s">
        <v>304</v>
      </c>
      <c r="H202" t="s">
        <v>30</v>
      </c>
      <c r="I202" t="s">
        <v>31</v>
      </c>
      <c r="J202" t="s">
        <v>53</v>
      </c>
      <c r="K202" t="s">
        <v>103</v>
      </c>
      <c r="L202" t="s">
        <v>34</v>
      </c>
      <c r="M202">
        <v>0</v>
      </c>
      <c r="N202">
        <v>3</v>
      </c>
      <c r="O202" t="s">
        <v>28</v>
      </c>
      <c r="P202" t="s">
        <v>28</v>
      </c>
      <c r="Q202" t="s">
        <v>28</v>
      </c>
      <c r="R202">
        <v>6</v>
      </c>
      <c r="S202" t="s">
        <v>85</v>
      </c>
      <c r="T202" t="s">
        <v>36</v>
      </c>
      <c r="U202" t="s">
        <v>37</v>
      </c>
      <c r="V202">
        <v>29</v>
      </c>
      <c r="W202" t="s">
        <v>419</v>
      </c>
      <c r="X202" t="s">
        <v>237</v>
      </c>
      <c r="Y202" t="s">
        <v>58</v>
      </c>
    </row>
    <row r="203" spans="1:25" x14ac:dyDescent="0.45">
      <c r="A203" t="s">
        <v>669</v>
      </c>
      <c r="B203" t="s">
        <v>25</v>
      </c>
      <c r="C203" s="3" t="s">
        <v>26</v>
      </c>
      <c r="D203" s="3">
        <f t="shared" si="6"/>
        <v>44840</v>
      </c>
      <c r="E203" t="s">
        <v>670</v>
      </c>
      <c r="F203" s="4">
        <f t="shared" si="7"/>
        <v>0.49652777777777779</v>
      </c>
      <c r="G203" t="s">
        <v>671</v>
      </c>
      <c r="H203" t="s">
        <v>672</v>
      </c>
      <c r="I203" t="s">
        <v>31</v>
      </c>
      <c r="J203" t="s">
        <v>53</v>
      </c>
      <c r="K203" t="s">
        <v>33</v>
      </c>
      <c r="L203" t="s">
        <v>34</v>
      </c>
      <c r="M203">
        <v>10</v>
      </c>
      <c r="N203">
        <v>2</v>
      </c>
      <c r="O203">
        <v>8</v>
      </c>
      <c r="P203">
        <v>5</v>
      </c>
      <c r="Q203">
        <v>0</v>
      </c>
      <c r="R203">
        <v>6</v>
      </c>
      <c r="S203" t="s">
        <v>55</v>
      </c>
      <c r="T203" t="s">
        <v>70</v>
      </c>
      <c r="U203" t="s">
        <v>37</v>
      </c>
      <c r="V203">
        <v>25</v>
      </c>
      <c r="W203" t="s">
        <v>147</v>
      </c>
      <c r="X203" t="s">
        <v>240</v>
      </c>
      <c r="Y203" t="s">
        <v>200</v>
      </c>
    </row>
    <row r="204" spans="1:25" x14ac:dyDescent="0.45">
      <c r="A204" t="s">
        <v>673</v>
      </c>
      <c r="B204" t="s">
        <v>25</v>
      </c>
      <c r="C204" s="3" t="s">
        <v>26</v>
      </c>
      <c r="D204" s="3">
        <f t="shared" si="6"/>
        <v>44840</v>
      </c>
      <c r="E204" t="s">
        <v>670</v>
      </c>
      <c r="F204" s="4">
        <f t="shared" si="7"/>
        <v>0.49652777777777779</v>
      </c>
      <c r="G204" t="s">
        <v>297</v>
      </c>
      <c r="H204" t="s">
        <v>30</v>
      </c>
      <c r="I204" t="s">
        <v>43</v>
      </c>
      <c r="J204" t="s">
        <v>87</v>
      </c>
      <c r="K204" t="s">
        <v>90</v>
      </c>
      <c r="L204" t="s">
        <v>674</v>
      </c>
      <c r="M204">
        <v>7</v>
      </c>
      <c r="N204">
        <v>7</v>
      </c>
      <c r="O204">
        <v>5</v>
      </c>
      <c r="P204">
        <v>7</v>
      </c>
      <c r="Q204">
        <v>7</v>
      </c>
      <c r="R204">
        <v>7</v>
      </c>
      <c r="S204" t="s">
        <v>55</v>
      </c>
      <c r="T204" t="s">
        <v>36</v>
      </c>
      <c r="U204" t="s">
        <v>37</v>
      </c>
      <c r="V204">
        <v>40</v>
      </c>
      <c r="W204" t="s">
        <v>38</v>
      </c>
      <c r="X204" t="s">
        <v>227</v>
      </c>
      <c r="Y204" t="s">
        <v>91</v>
      </c>
    </row>
    <row r="205" spans="1:25" x14ac:dyDescent="0.45">
      <c r="A205" t="s">
        <v>675</v>
      </c>
      <c r="B205" t="s">
        <v>25</v>
      </c>
      <c r="C205" s="3" t="s">
        <v>26</v>
      </c>
      <c r="D205" s="3">
        <f t="shared" si="6"/>
        <v>44840</v>
      </c>
      <c r="E205" t="s">
        <v>676</v>
      </c>
      <c r="F205" s="4">
        <f t="shared" si="7"/>
        <v>0.50069444444444444</v>
      </c>
      <c r="G205" t="s">
        <v>677</v>
      </c>
      <c r="H205" t="s">
        <v>30</v>
      </c>
      <c r="I205" t="s">
        <v>43</v>
      </c>
      <c r="J205" t="s">
        <v>44</v>
      </c>
      <c r="K205" t="s">
        <v>486</v>
      </c>
      <c r="L205" t="s">
        <v>376</v>
      </c>
      <c r="M205">
        <v>6</v>
      </c>
      <c r="N205">
        <v>10</v>
      </c>
      <c r="O205">
        <v>8</v>
      </c>
      <c r="P205">
        <v>8</v>
      </c>
      <c r="Q205">
        <v>4</v>
      </c>
      <c r="R205">
        <v>4</v>
      </c>
      <c r="S205" t="s">
        <v>85</v>
      </c>
      <c r="T205" t="s">
        <v>70</v>
      </c>
      <c r="U205" t="s">
        <v>65</v>
      </c>
      <c r="V205">
        <v>29</v>
      </c>
      <c r="W205" t="s">
        <v>47</v>
      </c>
      <c r="X205" t="s">
        <v>237</v>
      </c>
      <c r="Y205" t="s">
        <v>78</v>
      </c>
    </row>
    <row r="206" spans="1:25" x14ac:dyDescent="0.45">
      <c r="A206" t="s">
        <v>678</v>
      </c>
      <c r="B206" t="s">
        <v>25</v>
      </c>
      <c r="C206" s="3" t="s">
        <v>26</v>
      </c>
      <c r="D206" s="3">
        <f t="shared" si="6"/>
        <v>44840</v>
      </c>
      <c r="E206" t="s">
        <v>676</v>
      </c>
      <c r="F206" s="4">
        <f t="shared" si="7"/>
        <v>0.50069444444444444</v>
      </c>
      <c r="G206" t="s">
        <v>679</v>
      </c>
      <c r="H206" t="s">
        <v>30</v>
      </c>
      <c r="I206" t="s">
        <v>43</v>
      </c>
      <c r="J206" t="s">
        <v>44</v>
      </c>
      <c r="K206" t="s">
        <v>78</v>
      </c>
      <c r="L206" t="s">
        <v>34</v>
      </c>
      <c r="M206">
        <v>0</v>
      </c>
      <c r="N206">
        <v>3</v>
      </c>
      <c r="O206">
        <v>3</v>
      </c>
      <c r="P206">
        <v>3</v>
      </c>
      <c r="Q206">
        <v>3</v>
      </c>
      <c r="R206" t="s">
        <v>28</v>
      </c>
      <c r="S206" t="s">
        <v>69</v>
      </c>
      <c r="T206" t="s">
        <v>36</v>
      </c>
      <c r="U206" t="s">
        <v>37</v>
      </c>
      <c r="V206">
        <v>29</v>
      </c>
      <c r="W206" t="s">
        <v>147</v>
      </c>
      <c r="X206" t="s">
        <v>240</v>
      </c>
      <c r="Y206" t="s">
        <v>48</v>
      </c>
    </row>
    <row r="207" spans="1:25" x14ac:dyDescent="0.45">
      <c r="A207" t="s">
        <v>680</v>
      </c>
      <c r="B207" t="s">
        <v>25</v>
      </c>
      <c r="C207" s="3" t="s">
        <v>26</v>
      </c>
      <c r="D207" s="3">
        <f t="shared" si="6"/>
        <v>44840</v>
      </c>
      <c r="E207" t="s">
        <v>681</v>
      </c>
      <c r="F207" s="4">
        <f t="shared" si="7"/>
        <v>0.50208333333333333</v>
      </c>
      <c r="G207" t="s">
        <v>682</v>
      </c>
      <c r="H207" t="s">
        <v>30</v>
      </c>
      <c r="I207" t="s">
        <v>31</v>
      </c>
      <c r="J207" t="s">
        <v>53</v>
      </c>
      <c r="K207" t="s">
        <v>108</v>
      </c>
      <c r="L207" t="s">
        <v>34</v>
      </c>
      <c r="M207">
        <v>1</v>
      </c>
      <c r="N207">
        <v>2</v>
      </c>
      <c r="O207">
        <v>2</v>
      </c>
      <c r="P207">
        <v>3</v>
      </c>
      <c r="Q207">
        <v>3</v>
      </c>
      <c r="R207">
        <v>4</v>
      </c>
      <c r="S207" t="s">
        <v>85</v>
      </c>
      <c r="T207" t="s">
        <v>70</v>
      </c>
      <c r="U207" t="s">
        <v>37</v>
      </c>
      <c r="V207">
        <v>28</v>
      </c>
      <c r="W207" t="s">
        <v>419</v>
      </c>
      <c r="X207" t="s">
        <v>240</v>
      </c>
      <c r="Y207" t="s">
        <v>58</v>
      </c>
    </row>
    <row r="208" spans="1:25" x14ac:dyDescent="0.45">
      <c r="A208" t="s">
        <v>683</v>
      </c>
      <c r="B208" t="s">
        <v>25</v>
      </c>
      <c r="C208" s="3" t="s">
        <v>26</v>
      </c>
      <c r="D208" s="3">
        <f t="shared" si="6"/>
        <v>44840</v>
      </c>
      <c r="E208" t="s">
        <v>684</v>
      </c>
      <c r="F208" s="4">
        <f t="shared" si="7"/>
        <v>0.50277777777777777</v>
      </c>
      <c r="G208" t="s">
        <v>146</v>
      </c>
      <c r="H208" t="s">
        <v>685</v>
      </c>
      <c r="I208" t="s">
        <v>43</v>
      </c>
      <c r="J208" t="s">
        <v>87</v>
      </c>
      <c r="K208" t="s">
        <v>686</v>
      </c>
      <c r="L208" t="s">
        <v>687</v>
      </c>
      <c r="M208">
        <v>5</v>
      </c>
      <c r="N208">
        <v>2</v>
      </c>
      <c r="O208">
        <v>0</v>
      </c>
      <c r="P208">
        <v>2</v>
      </c>
      <c r="Q208">
        <v>0</v>
      </c>
      <c r="R208">
        <v>0</v>
      </c>
      <c r="S208" t="s">
        <v>85</v>
      </c>
      <c r="T208" t="s">
        <v>56</v>
      </c>
      <c r="U208" t="s">
        <v>37</v>
      </c>
      <c r="V208">
        <v>34</v>
      </c>
      <c r="W208" t="s">
        <v>109</v>
      </c>
      <c r="X208" t="s">
        <v>237</v>
      </c>
      <c r="Y208" t="s">
        <v>39</v>
      </c>
    </row>
    <row r="209" spans="1:25" x14ac:dyDescent="0.45">
      <c r="A209" t="s">
        <v>688</v>
      </c>
      <c r="B209" t="s">
        <v>25</v>
      </c>
      <c r="C209" s="3" t="s">
        <v>26</v>
      </c>
      <c r="D209" s="3">
        <f t="shared" si="6"/>
        <v>44840</v>
      </c>
      <c r="E209" t="s">
        <v>689</v>
      </c>
      <c r="F209" s="4">
        <f t="shared" si="7"/>
        <v>0.50694444444444442</v>
      </c>
      <c r="G209" t="s">
        <v>690</v>
      </c>
      <c r="H209" t="s">
        <v>123</v>
      </c>
      <c r="I209" t="s">
        <v>43</v>
      </c>
      <c r="J209" t="s">
        <v>53</v>
      </c>
      <c r="K209" t="s">
        <v>103</v>
      </c>
      <c r="L209" t="s">
        <v>34</v>
      </c>
      <c r="M209">
        <v>0</v>
      </c>
      <c r="N209">
        <v>4</v>
      </c>
      <c r="O209">
        <v>7</v>
      </c>
      <c r="P209">
        <v>6</v>
      </c>
      <c r="Q209">
        <v>7</v>
      </c>
      <c r="R209">
        <v>8</v>
      </c>
      <c r="S209" t="s">
        <v>55</v>
      </c>
      <c r="T209" t="s">
        <v>691</v>
      </c>
      <c r="U209" t="s">
        <v>37</v>
      </c>
      <c r="V209">
        <v>24</v>
      </c>
      <c r="W209" t="s">
        <v>612</v>
      </c>
      <c r="X209" t="s">
        <v>240</v>
      </c>
      <c r="Y209" t="s">
        <v>39</v>
      </c>
    </row>
    <row r="210" spans="1:25" x14ac:dyDescent="0.45">
      <c r="A210" t="s">
        <v>692</v>
      </c>
      <c r="B210" t="s">
        <v>25</v>
      </c>
      <c r="C210" s="3" t="s">
        <v>26</v>
      </c>
      <c r="D210" s="3">
        <f t="shared" si="6"/>
        <v>44840</v>
      </c>
      <c r="E210" t="s">
        <v>693</v>
      </c>
      <c r="F210" s="4">
        <f t="shared" si="7"/>
        <v>0.50763888888888886</v>
      </c>
      <c r="G210" t="s">
        <v>694</v>
      </c>
      <c r="H210" t="s">
        <v>30</v>
      </c>
      <c r="I210" t="s">
        <v>31</v>
      </c>
      <c r="J210" t="s">
        <v>53</v>
      </c>
      <c r="K210" t="s">
        <v>90</v>
      </c>
      <c r="L210" t="s">
        <v>34</v>
      </c>
      <c r="M210">
        <v>5</v>
      </c>
      <c r="N210">
        <v>8</v>
      </c>
      <c r="O210">
        <v>8</v>
      </c>
      <c r="P210">
        <v>9</v>
      </c>
      <c r="Q210">
        <v>7</v>
      </c>
      <c r="R210">
        <v>9</v>
      </c>
      <c r="S210" t="s">
        <v>64</v>
      </c>
      <c r="T210" t="s">
        <v>70</v>
      </c>
      <c r="U210" t="s">
        <v>37</v>
      </c>
      <c r="V210">
        <v>26</v>
      </c>
      <c r="W210" t="s">
        <v>695</v>
      </c>
      <c r="X210" t="s">
        <v>237</v>
      </c>
      <c r="Y210" t="s">
        <v>696</v>
      </c>
    </row>
    <row r="211" spans="1:25" x14ac:dyDescent="0.45">
      <c r="A211" t="s">
        <v>697</v>
      </c>
      <c r="B211" t="s">
        <v>25</v>
      </c>
      <c r="C211" s="3" t="s">
        <v>26</v>
      </c>
      <c r="D211" s="3">
        <f t="shared" si="6"/>
        <v>44840</v>
      </c>
      <c r="E211" t="s">
        <v>698</v>
      </c>
      <c r="F211" s="4">
        <f t="shared" si="7"/>
        <v>0.51111111111111107</v>
      </c>
      <c r="G211" t="s">
        <v>128</v>
      </c>
      <c r="H211" t="s">
        <v>30</v>
      </c>
      <c r="I211" t="s">
        <v>43</v>
      </c>
      <c r="J211" t="s">
        <v>82</v>
      </c>
      <c r="K211" t="s">
        <v>103</v>
      </c>
      <c r="L211" t="s">
        <v>34</v>
      </c>
      <c r="M211">
        <v>10</v>
      </c>
      <c r="N211">
        <v>5</v>
      </c>
      <c r="O211">
        <v>10</v>
      </c>
      <c r="P211">
        <v>10</v>
      </c>
      <c r="Q211">
        <v>6</v>
      </c>
      <c r="R211">
        <v>10</v>
      </c>
      <c r="S211" t="s">
        <v>69</v>
      </c>
      <c r="T211" t="s">
        <v>56</v>
      </c>
      <c r="U211" t="s">
        <v>37</v>
      </c>
      <c r="V211">
        <v>28</v>
      </c>
      <c r="W211" t="s">
        <v>38</v>
      </c>
      <c r="X211" t="s">
        <v>237</v>
      </c>
      <c r="Y211" t="s">
        <v>91</v>
      </c>
    </row>
    <row r="212" spans="1:25" x14ac:dyDescent="0.45">
      <c r="A212" t="s">
        <v>699</v>
      </c>
      <c r="B212" t="s">
        <v>25</v>
      </c>
      <c r="C212" s="3" t="s">
        <v>26</v>
      </c>
      <c r="D212" s="3">
        <f t="shared" si="6"/>
        <v>44840</v>
      </c>
      <c r="E212" t="s">
        <v>698</v>
      </c>
      <c r="F212" s="4">
        <f t="shared" si="7"/>
        <v>0.51111111111111107</v>
      </c>
      <c r="G212" t="s">
        <v>700</v>
      </c>
      <c r="H212" t="s">
        <v>123</v>
      </c>
      <c r="I212" t="s">
        <v>43</v>
      </c>
      <c r="J212" t="s">
        <v>53</v>
      </c>
      <c r="K212" t="s">
        <v>108</v>
      </c>
      <c r="L212" t="s">
        <v>46</v>
      </c>
      <c r="M212">
        <v>5</v>
      </c>
      <c r="N212">
        <v>4</v>
      </c>
      <c r="O212">
        <v>4</v>
      </c>
      <c r="P212">
        <v>4</v>
      </c>
      <c r="Q212">
        <v>5</v>
      </c>
      <c r="R212">
        <v>5</v>
      </c>
      <c r="S212" t="s">
        <v>69</v>
      </c>
      <c r="T212" t="s">
        <v>56</v>
      </c>
      <c r="U212" t="s">
        <v>37</v>
      </c>
      <c r="V212">
        <v>25</v>
      </c>
      <c r="W212" t="s">
        <v>267</v>
      </c>
      <c r="X212" t="s">
        <v>240</v>
      </c>
      <c r="Y212" t="s">
        <v>39</v>
      </c>
    </row>
    <row r="213" spans="1:25" x14ac:dyDescent="0.45">
      <c r="A213" t="s">
        <v>701</v>
      </c>
      <c r="B213" t="s">
        <v>25</v>
      </c>
      <c r="C213" s="3" t="s">
        <v>26</v>
      </c>
      <c r="D213" s="3">
        <f t="shared" si="6"/>
        <v>44840</v>
      </c>
      <c r="E213" t="s">
        <v>702</v>
      </c>
      <c r="F213" s="4">
        <f t="shared" si="7"/>
        <v>0.51597222222222228</v>
      </c>
      <c r="G213" t="s">
        <v>703</v>
      </c>
      <c r="H213" t="s">
        <v>30</v>
      </c>
      <c r="I213" t="s">
        <v>31</v>
      </c>
      <c r="J213" t="s">
        <v>53</v>
      </c>
      <c r="K213" t="s">
        <v>103</v>
      </c>
      <c r="L213" t="s">
        <v>34</v>
      </c>
      <c r="M213">
        <v>1</v>
      </c>
      <c r="N213">
        <v>4</v>
      </c>
      <c r="O213">
        <v>9</v>
      </c>
      <c r="P213">
        <v>7</v>
      </c>
      <c r="Q213">
        <v>8</v>
      </c>
      <c r="R213">
        <v>10</v>
      </c>
      <c r="S213" t="s">
        <v>55</v>
      </c>
      <c r="T213" t="s">
        <v>70</v>
      </c>
      <c r="U213" t="s">
        <v>37</v>
      </c>
      <c r="V213">
        <v>33</v>
      </c>
      <c r="W213" t="s">
        <v>261</v>
      </c>
      <c r="X213" t="s">
        <v>237</v>
      </c>
      <c r="Y213" t="s">
        <v>91</v>
      </c>
    </row>
    <row r="214" spans="1:25" x14ac:dyDescent="0.45">
      <c r="A214" t="s">
        <v>704</v>
      </c>
      <c r="B214" t="s">
        <v>25</v>
      </c>
      <c r="C214" s="3" t="s">
        <v>26</v>
      </c>
      <c r="D214" s="3">
        <f t="shared" si="6"/>
        <v>44840</v>
      </c>
      <c r="E214" t="s">
        <v>702</v>
      </c>
      <c r="F214" s="4">
        <f t="shared" si="7"/>
        <v>0.51597222222222228</v>
      </c>
      <c r="G214" t="s">
        <v>285</v>
      </c>
      <c r="H214" t="s">
        <v>30</v>
      </c>
      <c r="I214" t="s">
        <v>31</v>
      </c>
      <c r="J214" t="s">
        <v>94</v>
      </c>
      <c r="K214" t="s">
        <v>45</v>
      </c>
      <c r="L214" t="s">
        <v>34</v>
      </c>
      <c r="M214">
        <v>4</v>
      </c>
      <c r="N214">
        <v>4</v>
      </c>
      <c r="O214">
        <v>6</v>
      </c>
      <c r="P214">
        <v>3</v>
      </c>
      <c r="Q214">
        <v>4</v>
      </c>
      <c r="R214">
        <v>0</v>
      </c>
      <c r="S214" t="s">
        <v>85</v>
      </c>
      <c r="T214" t="s">
        <v>36</v>
      </c>
      <c r="U214" t="s">
        <v>37</v>
      </c>
      <c r="V214">
        <v>30</v>
      </c>
      <c r="W214" t="s">
        <v>492</v>
      </c>
      <c r="X214" t="s">
        <v>240</v>
      </c>
      <c r="Y214" t="s">
        <v>39</v>
      </c>
    </row>
    <row r="215" spans="1:25" x14ac:dyDescent="0.45">
      <c r="A215" t="s">
        <v>705</v>
      </c>
      <c r="B215" t="s">
        <v>25</v>
      </c>
      <c r="C215" s="3" t="s">
        <v>26</v>
      </c>
      <c r="D215" s="3">
        <f t="shared" si="6"/>
        <v>44840</v>
      </c>
      <c r="E215" t="s">
        <v>706</v>
      </c>
      <c r="F215" s="4">
        <f t="shared" si="7"/>
        <v>0.51736111111111116</v>
      </c>
      <c r="G215" t="s">
        <v>472</v>
      </c>
      <c r="H215" t="s">
        <v>30</v>
      </c>
      <c r="I215" t="s">
        <v>31</v>
      </c>
      <c r="J215" t="s">
        <v>53</v>
      </c>
      <c r="K215" t="s">
        <v>45</v>
      </c>
      <c r="L215" t="s">
        <v>34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 t="s">
        <v>35</v>
      </c>
      <c r="T215" t="s">
        <v>70</v>
      </c>
      <c r="U215" t="s">
        <v>37</v>
      </c>
      <c r="V215">
        <v>35</v>
      </c>
      <c r="W215" t="s">
        <v>147</v>
      </c>
      <c r="X215" t="s">
        <v>237</v>
      </c>
      <c r="Y215" t="s">
        <v>200</v>
      </c>
    </row>
    <row r="216" spans="1:25" x14ac:dyDescent="0.45">
      <c r="A216" t="s">
        <v>707</v>
      </c>
      <c r="B216" t="s">
        <v>25</v>
      </c>
      <c r="C216" s="3" t="s">
        <v>26</v>
      </c>
      <c r="D216" s="3">
        <f t="shared" si="6"/>
        <v>44840</v>
      </c>
      <c r="E216" t="s">
        <v>708</v>
      </c>
      <c r="F216" s="4">
        <f t="shared" si="7"/>
        <v>0.51944444444444449</v>
      </c>
      <c r="G216" t="s">
        <v>229</v>
      </c>
      <c r="H216" t="s">
        <v>30</v>
      </c>
      <c r="I216" t="s">
        <v>43</v>
      </c>
      <c r="J216" t="s">
        <v>53</v>
      </c>
      <c r="K216" t="s">
        <v>178</v>
      </c>
      <c r="L216" t="s">
        <v>674</v>
      </c>
      <c r="M216">
        <v>5</v>
      </c>
      <c r="N216">
        <v>2</v>
      </c>
      <c r="O216">
        <v>5</v>
      </c>
      <c r="P216">
        <v>5</v>
      </c>
      <c r="Q216">
        <v>3</v>
      </c>
      <c r="R216">
        <v>4</v>
      </c>
      <c r="S216" t="s">
        <v>69</v>
      </c>
      <c r="T216" t="s">
        <v>70</v>
      </c>
      <c r="U216" t="s">
        <v>37</v>
      </c>
      <c r="V216">
        <v>25</v>
      </c>
      <c r="W216" t="s">
        <v>709</v>
      </c>
      <c r="X216" t="s">
        <v>237</v>
      </c>
      <c r="Y216" t="s">
        <v>39</v>
      </c>
    </row>
    <row r="217" spans="1:25" x14ac:dyDescent="0.45">
      <c r="A217" t="s">
        <v>710</v>
      </c>
      <c r="B217" t="s">
        <v>25</v>
      </c>
      <c r="C217" s="3" t="s">
        <v>26</v>
      </c>
      <c r="D217" s="3">
        <f t="shared" si="6"/>
        <v>44840</v>
      </c>
      <c r="E217" t="s">
        <v>711</v>
      </c>
      <c r="F217" s="4">
        <f t="shared" si="7"/>
        <v>0.52013888888888893</v>
      </c>
      <c r="G217" t="s">
        <v>128</v>
      </c>
      <c r="H217" t="s">
        <v>30</v>
      </c>
      <c r="I217" t="s">
        <v>43</v>
      </c>
      <c r="J217" t="s">
        <v>53</v>
      </c>
      <c r="K217" t="s">
        <v>712</v>
      </c>
      <c r="L217" t="s">
        <v>34</v>
      </c>
      <c r="M217">
        <v>4</v>
      </c>
      <c r="N217">
        <v>7</v>
      </c>
      <c r="O217">
        <v>9</v>
      </c>
      <c r="P217">
        <v>5</v>
      </c>
      <c r="Q217">
        <v>2</v>
      </c>
      <c r="R217">
        <v>8</v>
      </c>
      <c r="S217" t="s">
        <v>55</v>
      </c>
      <c r="T217" t="s">
        <v>70</v>
      </c>
      <c r="U217" t="s">
        <v>37</v>
      </c>
      <c r="V217">
        <v>23</v>
      </c>
      <c r="W217" t="s">
        <v>207</v>
      </c>
      <c r="X217" t="s">
        <v>237</v>
      </c>
      <c r="Y217" t="s">
        <v>39</v>
      </c>
    </row>
    <row r="218" spans="1:25" x14ac:dyDescent="0.45">
      <c r="A218" t="s">
        <v>713</v>
      </c>
      <c r="B218" t="s">
        <v>25</v>
      </c>
      <c r="C218" s="3" t="s">
        <v>26</v>
      </c>
      <c r="D218" s="3">
        <f t="shared" si="6"/>
        <v>44840</v>
      </c>
      <c r="E218" t="s">
        <v>714</v>
      </c>
      <c r="F218" s="4">
        <f t="shared" si="7"/>
        <v>0.52222222222222225</v>
      </c>
      <c r="G218" t="s">
        <v>61</v>
      </c>
      <c r="H218" t="s">
        <v>52</v>
      </c>
      <c r="I218" t="s">
        <v>43</v>
      </c>
      <c r="J218" t="s">
        <v>53</v>
      </c>
      <c r="K218" t="s">
        <v>33</v>
      </c>
      <c r="L218" t="s">
        <v>34</v>
      </c>
      <c r="M218">
        <v>6</v>
      </c>
      <c r="N218">
        <v>6</v>
      </c>
      <c r="O218">
        <v>6</v>
      </c>
      <c r="P218">
        <v>5</v>
      </c>
      <c r="Q218">
        <v>4</v>
      </c>
      <c r="R218">
        <v>7</v>
      </c>
      <c r="S218" t="s">
        <v>85</v>
      </c>
      <c r="T218" t="s">
        <v>56</v>
      </c>
      <c r="U218" t="s">
        <v>37</v>
      </c>
      <c r="V218">
        <v>24</v>
      </c>
      <c r="W218" t="s">
        <v>347</v>
      </c>
      <c r="X218" t="s">
        <v>237</v>
      </c>
      <c r="Y218" t="s">
        <v>91</v>
      </c>
    </row>
    <row r="219" spans="1:25" x14ac:dyDescent="0.45">
      <c r="A219" t="s">
        <v>715</v>
      </c>
      <c r="B219" t="s">
        <v>25</v>
      </c>
      <c r="C219" s="3" t="s">
        <v>26</v>
      </c>
      <c r="D219" s="3">
        <f t="shared" si="6"/>
        <v>44840</v>
      </c>
      <c r="E219" t="s">
        <v>716</v>
      </c>
      <c r="F219" s="4">
        <f t="shared" si="7"/>
        <v>0.52777777777777779</v>
      </c>
      <c r="G219" t="s">
        <v>654</v>
      </c>
      <c r="H219" t="s">
        <v>30</v>
      </c>
      <c r="I219" t="s">
        <v>31</v>
      </c>
      <c r="J219" t="s">
        <v>63</v>
      </c>
      <c r="K219" t="s">
        <v>108</v>
      </c>
      <c r="L219" t="s">
        <v>717</v>
      </c>
      <c r="M219">
        <v>8</v>
      </c>
      <c r="N219">
        <v>9</v>
      </c>
      <c r="O219">
        <v>9</v>
      </c>
      <c r="P219">
        <v>7</v>
      </c>
      <c r="Q219">
        <v>6</v>
      </c>
      <c r="R219">
        <v>6</v>
      </c>
      <c r="S219" t="s">
        <v>85</v>
      </c>
      <c r="T219" t="s">
        <v>70</v>
      </c>
      <c r="U219" t="s">
        <v>37</v>
      </c>
      <c r="V219">
        <v>27</v>
      </c>
      <c r="W219" t="s">
        <v>38</v>
      </c>
      <c r="X219" t="s">
        <v>240</v>
      </c>
      <c r="Y219" t="s">
        <v>58</v>
      </c>
    </row>
    <row r="220" spans="1:25" x14ac:dyDescent="0.45">
      <c r="A220" t="s">
        <v>718</v>
      </c>
      <c r="B220" t="s">
        <v>25</v>
      </c>
      <c r="C220" s="3" t="s">
        <v>26</v>
      </c>
      <c r="D220" s="3">
        <f t="shared" si="6"/>
        <v>44840</v>
      </c>
      <c r="E220" t="s">
        <v>719</v>
      </c>
      <c r="F220" s="4">
        <f t="shared" si="7"/>
        <v>0.53263888888888888</v>
      </c>
      <c r="G220" t="s">
        <v>112</v>
      </c>
      <c r="H220" t="s">
        <v>30</v>
      </c>
      <c r="I220" t="s">
        <v>31</v>
      </c>
      <c r="J220" t="s">
        <v>94</v>
      </c>
      <c r="K220" t="s">
        <v>720</v>
      </c>
      <c r="L220" t="s">
        <v>34</v>
      </c>
      <c r="M220">
        <v>4</v>
      </c>
      <c r="N220">
        <v>10</v>
      </c>
      <c r="O220">
        <v>10</v>
      </c>
      <c r="P220">
        <v>8</v>
      </c>
      <c r="Q220">
        <v>5</v>
      </c>
      <c r="R220">
        <v>6</v>
      </c>
      <c r="S220" t="s">
        <v>85</v>
      </c>
      <c r="T220" t="s">
        <v>36</v>
      </c>
      <c r="U220" t="s">
        <v>37</v>
      </c>
      <c r="V220">
        <v>32</v>
      </c>
      <c r="W220" t="s">
        <v>38</v>
      </c>
      <c r="X220" t="s">
        <v>237</v>
      </c>
      <c r="Y220" t="s">
        <v>48</v>
      </c>
    </row>
    <row r="221" spans="1:25" x14ac:dyDescent="0.45">
      <c r="A221" t="s">
        <v>721</v>
      </c>
      <c r="B221" t="s">
        <v>25</v>
      </c>
      <c r="C221" s="3" t="s">
        <v>26</v>
      </c>
      <c r="D221" s="3">
        <f t="shared" si="6"/>
        <v>44840</v>
      </c>
      <c r="E221" t="s">
        <v>722</v>
      </c>
      <c r="F221" s="4">
        <f t="shared" si="7"/>
        <v>0.53819444444444442</v>
      </c>
      <c r="G221" t="s">
        <v>406</v>
      </c>
      <c r="H221" t="s">
        <v>30</v>
      </c>
      <c r="I221" t="s">
        <v>31</v>
      </c>
      <c r="J221" t="s">
        <v>44</v>
      </c>
      <c r="K221" t="s">
        <v>103</v>
      </c>
      <c r="L221" t="s">
        <v>34</v>
      </c>
      <c r="M221">
        <v>3</v>
      </c>
      <c r="N221">
        <v>5</v>
      </c>
      <c r="O221">
        <v>4</v>
      </c>
      <c r="P221">
        <v>4</v>
      </c>
      <c r="Q221">
        <v>4</v>
      </c>
      <c r="R221">
        <v>4</v>
      </c>
      <c r="S221" t="s">
        <v>85</v>
      </c>
      <c r="T221" t="s">
        <v>56</v>
      </c>
      <c r="U221" t="s">
        <v>37</v>
      </c>
      <c r="V221">
        <v>50</v>
      </c>
      <c r="W221" t="s">
        <v>47</v>
      </c>
      <c r="X221" t="s">
        <v>237</v>
      </c>
      <c r="Y221" t="s">
        <v>39</v>
      </c>
    </row>
    <row r="222" spans="1:25" x14ac:dyDescent="0.45">
      <c r="A222" t="s">
        <v>723</v>
      </c>
      <c r="B222" t="s">
        <v>25</v>
      </c>
      <c r="C222" s="3" t="s">
        <v>26</v>
      </c>
      <c r="D222" s="3">
        <f t="shared" si="6"/>
        <v>44840</v>
      </c>
      <c r="E222" t="s">
        <v>722</v>
      </c>
      <c r="F222" s="4">
        <f t="shared" si="7"/>
        <v>0.53819444444444442</v>
      </c>
      <c r="G222" t="s">
        <v>81</v>
      </c>
      <c r="H222" t="s">
        <v>724</v>
      </c>
      <c r="I222" t="s">
        <v>31</v>
      </c>
      <c r="J222" t="s">
        <v>94</v>
      </c>
      <c r="K222" t="s">
        <v>725</v>
      </c>
      <c r="L222" t="s">
        <v>34</v>
      </c>
      <c r="M222">
        <v>7</v>
      </c>
      <c r="N222">
        <v>7</v>
      </c>
      <c r="O222">
        <v>8</v>
      </c>
      <c r="P222">
        <v>9</v>
      </c>
      <c r="Q222">
        <v>10</v>
      </c>
      <c r="R222">
        <v>10</v>
      </c>
      <c r="S222" t="s">
        <v>85</v>
      </c>
      <c r="T222" t="s">
        <v>36</v>
      </c>
      <c r="U222" t="s">
        <v>37</v>
      </c>
      <c r="V222">
        <v>29</v>
      </c>
      <c r="W222" t="s">
        <v>38</v>
      </c>
      <c r="X222" t="s">
        <v>227</v>
      </c>
      <c r="Y222" t="s">
        <v>39</v>
      </c>
    </row>
    <row r="223" spans="1:25" x14ac:dyDescent="0.45">
      <c r="A223" t="s">
        <v>726</v>
      </c>
      <c r="B223" t="s">
        <v>25</v>
      </c>
      <c r="C223" s="3" t="s">
        <v>26</v>
      </c>
      <c r="D223" s="3">
        <f t="shared" si="6"/>
        <v>44840</v>
      </c>
      <c r="E223" t="s">
        <v>727</v>
      </c>
      <c r="F223" s="4">
        <f t="shared" si="7"/>
        <v>0.5395833333333333</v>
      </c>
      <c r="G223" t="s">
        <v>176</v>
      </c>
      <c r="H223" t="s">
        <v>30</v>
      </c>
      <c r="I223" t="s">
        <v>31</v>
      </c>
      <c r="J223" t="s">
        <v>53</v>
      </c>
      <c r="K223" t="s">
        <v>90</v>
      </c>
      <c r="L223" t="s">
        <v>46</v>
      </c>
      <c r="M223">
        <v>2</v>
      </c>
      <c r="N223">
        <v>8</v>
      </c>
      <c r="O223">
        <v>7</v>
      </c>
      <c r="P223">
        <v>6</v>
      </c>
      <c r="Q223">
        <v>5</v>
      </c>
      <c r="R223">
        <v>6</v>
      </c>
      <c r="S223" t="s">
        <v>85</v>
      </c>
      <c r="T223" t="s">
        <v>56</v>
      </c>
      <c r="U223" t="s">
        <v>37</v>
      </c>
      <c r="V223">
        <v>41</v>
      </c>
      <c r="W223" t="s">
        <v>728</v>
      </c>
      <c r="X223" t="s">
        <v>237</v>
      </c>
      <c r="Y223" t="s">
        <v>91</v>
      </c>
    </row>
    <row r="224" spans="1:25" x14ac:dyDescent="0.45">
      <c r="A224" t="s">
        <v>729</v>
      </c>
      <c r="B224" t="s">
        <v>25</v>
      </c>
      <c r="C224" s="3" t="s">
        <v>26</v>
      </c>
      <c r="D224" s="3">
        <f t="shared" si="6"/>
        <v>44840</v>
      </c>
      <c r="E224" t="s">
        <v>730</v>
      </c>
      <c r="F224" s="4">
        <f t="shared" si="7"/>
        <v>0.54027777777777775</v>
      </c>
      <c r="G224" t="s">
        <v>731</v>
      </c>
      <c r="H224" t="s">
        <v>732</v>
      </c>
      <c r="I224" t="s">
        <v>43</v>
      </c>
      <c r="J224" t="s">
        <v>53</v>
      </c>
      <c r="K224" t="s">
        <v>733</v>
      </c>
      <c r="L224" t="s">
        <v>46</v>
      </c>
      <c r="M224">
        <v>1</v>
      </c>
      <c r="N224">
        <v>7</v>
      </c>
      <c r="O224">
        <v>7</v>
      </c>
      <c r="P224">
        <v>1</v>
      </c>
      <c r="Q224">
        <v>4</v>
      </c>
      <c r="R224">
        <v>10</v>
      </c>
      <c r="S224" t="s">
        <v>85</v>
      </c>
      <c r="T224" t="s">
        <v>70</v>
      </c>
      <c r="U224" t="s">
        <v>37</v>
      </c>
      <c r="V224">
        <v>23</v>
      </c>
      <c r="W224" t="s">
        <v>38</v>
      </c>
      <c r="X224" t="s">
        <v>262</v>
      </c>
      <c r="Y224" t="s">
        <v>39</v>
      </c>
    </row>
    <row r="225" spans="1:25" x14ac:dyDescent="0.45">
      <c r="A225" t="s">
        <v>734</v>
      </c>
      <c r="B225" t="s">
        <v>25</v>
      </c>
      <c r="C225" s="3" t="s">
        <v>26</v>
      </c>
      <c r="D225" s="3">
        <f t="shared" si="6"/>
        <v>44840</v>
      </c>
      <c r="E225" t="s">
        <v>735</v>
      </c>
      <c r="F225" s="4">
        <f t="shared" si="7"/>
        <v>0.54652777777777772</v>
      </c>
      <c r="G225" t="s">
        <v>736</v>
      </c>
      <c r="H225" t="s">
        <v>30</v>
      </c>
      <c r="I225" t="s">
        <v>31</v>
      </c>
      <c r="J225" t="s">
        <v>53</v>
      </c>
      <c r="K225" t="s">
        <v>45</v>
      </c>
      <c r="L225" t="s">
        <v>34</v>
      </c>
      <c r="M225">
        <v>4</v>
      </c>
      <c r="N225">
        <v>7</v>
      </c>
      <c r="O225">
        <v>8</v>
      </c>
      <c r="P225">
        <v>7</v>
      </c>
      <c r="Q225">
        <v>8</v>
      </c>
      <c r="R225">
        <v>8</v>
      </c>
      <c r="S225" t="s">
        <v>69</v>
      </c>
      <c r="T225" t="s">
        <v>70</v>
      </c>
      <c r="U225" t="s">
        <v>37</v>
      </c>
      <c r="V225">
        <v>31</v>
      </c>
      <c r="W225" t="s">
        <v>57</v>
      </c>
      <c r="X225" t="s">
        <v>237</v>
      </c>
      <c r="Y225" t="s">
        <v>58</v>
      </c>
    </row>
    <row r="226" spans="1:25" x14ac:dyDescent="0.45">
      <c r="A226" t="s">
        <v>737</v>
      </c>
      <c r="B226" t="s">
        <v>25</v>
      </c>
      <c r="C226" s="3" t="s">
        <v>26</v>
      </c>
      <c r="D226" s="3">
        <f t="shared" si="6"/>
        <v>44840</v>
      </c>
      <c r="E226" t="s">
        <v>738</v>
      </c>
      <c r="F226" s="4">
        <f t="shared" si="7"/>
        <v>0.54722222222222228</v>
      </c>
      <c r="G226" t="s">
        <v>89</v>
      </c>
      <c r="H226" t="s">
        <v>30</v>
      </c>
      <c r="I226" t="s">
        <v>43</v>
      </c>
      <c r="J226" t="s">
        <v>53</v>
      </c>
      <c r="K226" t="s">
        <v>33</v>
      </c>
      <c r="L226" t="s">
        <v>34</v>
      </c>
      <c r="M226">
        <v>0</v>
      </c>
      <c r="N226">
        <v>10</v>
      </c>
      <c r="O226">
        <v>10</v>
      </c>
      <c r="P226">
        <v>10</v>
      </c>
      <c r="Q226">
        <v>10</v>
      </c>
      <c r="R226">
        <v>10</v>
      </c>
      <c r="S226" t="s">
        <v>69</v>
      </c>
      <c r="T226" t="s">
        <v>70</v>
      </c>
      <c r="U226" t="s">
        <v>37</v>
      </c>
      <c r="V226">
        <v>22</v>
      </c>
      <c r="W226" t="s">
        <v>739</v>
      </c>
      <c r="X226" t="s">
        <v>237</v>
      </c>
      <c r="Y226" t="s">
        <v>740</v>
      </c>
    </row>
    <row r="227" spans="1:25" x14ac:dyDescent="0.45">
      <c r="A227" t="s">
        <v>741</v>
      </c>
      <c r="B227" t="s">
        <v>25</v>
      </c>
      <c r="C227" s="3" t="s">
        <v>26</v>
      </c>
      <c r="D227" s="3">
        <f t="shared" si="6"/>
        <v>44840</v>
      </c>
      <c r="E227" t="s">
        <v>738</v>
      </c>
      <c r="F227" s="4">
        <f t="shared" si="7"/>
        <v>0.54722222222222228</v>
      </c>
      <c r="G227" t="s">
        <v>68</v>
      </c>
      <c r="H227" t="s">
        <v>30</v>
      </c>
      <c r="I227" t="s">
        <v>43</v>
      </c>
      <c r="J227" t="s">
        <v>94</v>
      </c>
      <c r="K227" t="s">
        <v>45</v>
      </c>
      <c r="L227" t="s">
        <v>34</v>
      </c>
      <c r="M227">
        <v>3</v>
      </c>
      <c r="N227">
        <v>5</v>
      </c>
      <c r="O227">
        <v>5</v>
      </c>
      <c r="P227">
        <v>5</v>
      </c>
      <c r="Q227">
        <v>3</v>
      </c>
      <c r="R227">
        <v>3</v>
      </c>
      <c r="S227" t="s">
        <v>35</v>
      </c>
      <c r="T227" t="s">
        <v>70</v>
      </c>
      <c r="U227" t="s">
        <v>37</v>
      </c>
      <c r="V227">
        <v>29</v>
      </c>
      <c r="W227" t="s">
        <v>38</v>
      </c>
      <c r="X227" t="s">
        <v>240</v>
      </c>
      <c r="Y227" t="s">
        <v>91</v>
      </c>
    </row>
    <row r="228" spans="1:25" x14ac:dyDescent="0.45">
      <c r="A228" t="s">
        <v>742</v>
      </c>
      <c r="B228" t="s">
        <v>25</v>
      </c>
      <c r="C228" s="3" t="s">
        <v>26</v>
      </c>
      <c r="D228" s="3">
        <f t="shared" si="6"/>
        <v>44840</v>
      </c>
      <c r="E228" t="s">
        <v>743</v>
      </c>
      <c r="F228" s="4">
        <f t="shared" si="7"/>
        <v>0.54791666666666672</v>
      </c>
      <c r="G228" t="s">
        <v>265</v>
      </c>
      <c r="H228" t="s">
        <v>77</v>
      </c>
      <c r="I228" t="s">
        <v>31</v>
      </c>
      <c r="J228" t="s">
        <v>53</v>
      </c>
      <c r="K228" t="s">
        <v>103</v>
      </c>
      <c r="L228" t="s">
        <v>34</v>
      </c>
      <c r="M228">
        <v>4</v>
      </c>
      <c r="N228">
        <v>4</v>
      </c>
      <c r="O228">
        <v>4</v>
      </c>
      <c r="P228">
        <v>0</v>
      </c>
      <c r="Q228">
        <v>0</v>
      </c>
      <c r="R228">
        <v>6</v>
      </c>
      <c r="S228" t="s">
        <v>69</v>
      </c>
      <c r="T228" t="s">
        <v>114</v>
      </c>
      <c r="U228" t="s">
        <v>37</v>
      </c>
      <c r="V228">
        <v>23</v>
      </c>
      <c r="W228" t="s">
        <v>744</v>
      </c>
      <c r="X228" t="s">
        <v>237</v>
      </c>
      <c r="Y228" t="s">
        <v>200</v>
      </c>
    </row>
    <row r="229" spans="1:25" x14ac:dyDescent="0.45">
      <c r="A229" t="s">
        <v>745</v>
      </c>
      <c r="B229" t="s">
        <v>25</v>
      </c>
      <c r="C229" s="3" t="s">
        <v>26</v>
      </c>
      <c r="D229" s="3">
        <f t="shared" si="6"/>
        <v>44840</v>
      </c>
      <c r="E229" t="s">
        <v>746</v>
      </c>
      <c r="F229" s="4">
        <f t="shared" si="7"/>
        <v>0.55000000000000004</v>
      </c>
      <c r="G229" t="s">
        <v>81</v>
      </c>
      <c r="H229" t="s">
        <v>123</v>
      </c>
      <c r="I229" t="s">
        <v>43</v>
      </c>
      <c r="J229" t="s">
        <v>53</v>
      </c>
      <c r="K229" t="s">
        <v>747</v>
      </c>
      <c r="L229" t="s">
        <v>748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 t="s">
        <v>85</v>
      </c>
      <c r="T229" t="s">
        <v>36</v>
      </c>
      <c r="U229" t="s">
        <v>65</v>
      </c>
      <c r="V229">
        <v>24</v>
      </c>
      <c r="W229" t="s">
        <v>38</v>
      </c>
      <c r="X229" t="s">
        <v>227</v>
      </c>
      <c r="Y229" t="s">
        <v>91</v>
      </c>
    </row>
    <row r="230" spans="1:25" x14ac:dyDescent="0.45">
      <c r="A230" t="s">
        <v>749</v>
      </c>
      <c r="B230" t="s">
        <v>25</v>
      </c>
      <c r="C230" s="3" t="s">
        <v>26</v>
      </c>
      <c r="D230" s="3">
        <f t="shared" si="6"/>
        <v>44840</v>
      </c>
      <c r="E230" t="s">
        <v>750</v>
      </c>
      <c r="F230" s="4">
        <f t="shared" si="7"/>
        <v>0.55069444444444449</v>
      </c>
      <c r="G230" t="s">
        <v>751</v>
      </c>
      <c r="H230" t="s">
        <v>30</v>
      </c>
      <c r="I230" t="s">
        <v>31</v>
      </c>
      <c r="J230" t="s">
        <v>94</v>
      </c>
      <c r="K230" t="s">
        <v>752</v>
      </c>
      <c r="L230" t="s">
        <v>34</v>
      </c>
      <c r="M230">
        <v>5</v>
      </c>
      <c r="N230">
        <v>9</v>
      </c>
      <c r="O230">
        <v>10</v>
      </c>
      <c r="P230">
        <v>10</v>
      </c>
      <c r="Q230">
        <v>5</v>
      </c>
      <c r="R230">
        <v>10</v>
      </c>
      <c r="S230" t="s">
        <v>85</v>
      </c>
      <c r="T230" t="s">
        <v>70</v>
      </c>
      <c r="U230" t="s">
        <v>37</v>
      </c>
      <c r="V230">
        <v>26</v>
      </c>
      <c r="W230" t="s">
        <v>38</v>
      </c>
      <c r="X230" t="s">
        <v>237</v>
      </c>
      <c r="Y230" t="s">
        <v>58</v>
      </c>
    </row>
    <row r="231" spans="1:25" x14ac:dyDescent="0.45">
      <c r="A231" t="s">
        <v>753</v>
      </c>
      <c r="B231" t="s">
        <v>25</v>
      </c>
      <c r="C231" s="3" t="s">
        <v>26</v>
      </c>
      <c r="D231" s="3">
        <f t="shared" si="6"/>
        <v>44840</v>
      </c>
      <c r="E231" t="s">
        <v>754</v>
      </c>
      <c r="F231" s="4">
        <f t="shared" si="7"/>
        <v>0.55277777777777781</v>
      </c>
      <c r="G231" t="s">
        <v>42</v>
      </c>
      <c r="H231" t="s">
        <v>123</v>
      </c>
      <c r="I231" t="s">
        <v>31</v>
      </c>
      <c r="J231" t="s">
        <v>53</v>
      </c>
      <c r="K231" t="s">
        <v>45</v>
      </c>
      <c r="L231" t="s">
        <v>34</v>
      </c>
      <c r="M231">
        <v>4</v>
      </c>
      <c r="N231">
        <v>3</v>
      </c>
      <c r="O231">
        <v>5</v>
      </c>
      <c r="P231">
        <v>2</v>
      </c>
      <c r="Q231">
        <v>2</v>
      </c>
      <c r="R231">
        <v>3</v>
      </c>
      <c r="S231" t="s">
        <v>69</v>
      </c>
      <c r="T231" t="s">
        <v>114</v>
      </c>
      <c r="U231" t="s">
        <v>37</v>
      </c>
      <c r="V231">
        <v>31</v>
      </c>
      <c r="W231" t="s">
        <v>147</v>
      </c>
      <c r="X231" t="s">
        <v>237</v>
      </c>
      <c r="Y231" t="s">
        <v>48</v>
      </c>
    </row>
    <row r="232" spans="1:25" x14ac:dyDescent="0.45">
      <c r="A232" t="s">
        <v>755</v>
      </c>
      <c r="B232" t="s">
        <v>25</v>
      </c>
      <c r="C232" s="3" t="s">
        <v>26</v>
      </c>
      <c r="D232" s="3">
        <f t="shared" si="6"/>
        <v>44840</v>
      </c>
      <c r="E232" t="s">
        <v>756</v>
      </c>
      <c r="F232" s="4">
        <f t="shared" si="7"/>
        <v>0.55555555555555558</v>
      </c>
      <c r="G232" t="s">
        <v>615</v>
      </c>
      <c r="H232" t="s">
        <v>30</v>
      </c>
      <c r="I232" t="s">
        <v>31</v>
      </c>
      <c r="J232" t="s">
        <v>53</v>
      </c>
      <c r="K232" t="s">
        <v>757</v>
      </c>
      <c r="L232" t="s">
        <v>34</v>
      </c>
      <c r="M232">
        <v>1</v>
      </c>
      <c r="N232">
        <v>1</v>
      </c>
      <c r="O232">
        <v>1</v>
      </c>
      <c r="P232">
        <v>1</v>
      </c>
      <c r="Q232">
        <v>7</v>
      </c>
      <c r="R232">
        <v>9</v>
      </c>
      <c r="S232" t="s">
        <v>85</v>
      </c>
      <c r="T232" t="s">
        <v>36</v>
      </c>
      <c r="U232" t="s">
        <v>37</v>
      </c>
      <c r="V232">
        <v>22</v>
      </c>
      <c r="W232" t="s">
        <v>758</v>
      </c>
      <c r="X232" t="s">
        <v>237</v>
      </c>
      <c r="Y232" t="s">
        <v>58</v>
      </c>
    </row>
    <row r="233" spans="1:25" x14ac:dyDescent="0.45">
      <c r="A233" t="s">
        <v>759</v>
      </c>
      <c r="B233" t="s">
        <v>25</v>
      </c>
      <c r="C233" s="3" t="s">
        <v>26</v>
      </c>
      <c r="D233" s="3">
        <f t="shared" si="6"/>
        <v>44840</v>
      </c>
      <c r="E233" t="s">
        <v>760</v>
      </c>
      <c r="F233" s="4">
        <f t="shared" si="7"/>
        <v>0.56180555555555556</v>
      </c>
      <c r="G233" t="s">
        <v>206</v>
      </c>
      <c r="H233" t="s">
        <v>30</v>
      </c>
      <c r="I233" t="s">
        <v>31</v>
      </c>
      <c r="J233" t="s">
        <v>94</v>
      </c>
      <c r="K233" t="s">
        <v>761</v>
      </c>
      <c r="L233" t="s">
        <v>34</v>
      </c>
      <c r="M233">
        <v>7</v>
      </c>
      <c r="N233">
        <v>8</v>
      </c>
      <c r="O233">
        <v>10</v>
      </c>
      <c r="P233">
        <v>8</v>
      </c>
      <c r="Q233">
        <v>7</v>
      </c>
      <c r="R233">
        <v>5</v>
      </c>
      <c r="S233" t="s">
        <v>85</v>
      </c>
      <c r="T233" t="s">
        <v>36</v>
      </c>
      <c r="U233" t="s">
        <v>37</v>
      </c>
      <c r="V233">
        <v>31</v>
      </c>
      <c r="W233" t="s">
        <v>267</v>
      </c>
      <c r="X233" t="s">
        <v>237</v>
      </c>
      <c r="Y233" t="s">
        <v>39</v>
      </c>
    </row>
    <row r="234" spans="1:25" x14ac:dyDescent="0.45">
      <c r="A234" t="s">
        <v>762</v>
      </c>
      <c r="B234" t="s">
        <v>25</v>
      </c>
      <c r="C234" s="3" t="s">
        <v>26</v>
      </c>
      <c r="D234" s="3">
        <f t="shared" si="6"/>
        <v>44840</v>
      </c>
      <c r="E234" t="s">
        <v>763</v>
      </c>
      <c r="F234" s="4">
        <f t="shared" si="7"/>
        <v>0.56319444444444444</v>
      </c>
      <c r="G234" t="s">
        <v>128</v>
      </c>
      <c r="H234" t="s">
        <v>123</v>
      </c>
      <c r="I234" t="s">
        <v>31</v>
      </c>
      <c r="J234" t="s">
        <v>53</v>
      </c>
      <c r="K234" t="s">
        <v>103</v>
      </c>
      <c r="L234" t="s">
        <v>34</v>
      </c>
      <c r="M234">
        <v>0</v>
      </c>
      <c r="N234">
        <v>4</v>
      </c>
      <c r="O234">
        <v>0</v>
      </c>
      <c r="P234">
        <v>0</v>
      </c>
      <c r="Q234">
        <v>4</v>
      </c>
      <c r="R234">
        <v>5</v>
      </c>
      <c r="S234" t="s">
        <v>85</v>
      </c>
      <c r="T234" t="s">
        <v>70</v>
      </c>
      <c r="U234" t="s">
        <v>37</v>
      </c>
      <c r="V234">
        <v>27</v>
      </c>
      <c r="W234" t="s">
        <v>38</v>
      </c>
      <c r="X234" t="s">
        <v>240</v>
      </c>
      <c r="Y234" t="s">
        <v>48</v>
      </c>
    </row>
    <row r="235" spans="1:25" x14ac:dyDescent="0.45">
      <c r="A235" t="s">
        <v>764</v>
      </c>
      <c r="B235" t="s">
        <v>25</v>
      </c>
      <c r="C235" s="3" t="s">
        <v>26</v>
      </c>
      <c r="D235" s="3">
        <f t="shared" si="6"/>
        <v>44840</v>
      </c>
      <c r="E235" t="s">
        <v>765</v>
      </c>
      <c r="F235" s="4">
        <f t="shared" si="7"/>
        <v>0.56388888888888888</v>
      </c>
      <c r="G235" t="s">
        <v>317</v>
      </c>
      <c r="H235" t="s">
        <v>123</v>
      </c>
      <c r="I235" t="s">
        <v>43</v>
      </c>
      <c r="J235" t="s">
        <v>53</v>
      </c>
      <c r="K235" t="s">
        <v>766</v>
      </c>
      <c r="L235" t="s">
        <v>34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1</v>
      </c>
      <c r="S235" t="s">
        <v>69</v>
      </c>
      <c r="T235" t="s">
        <v>70</v>
      </c>
      <c r="U235" t="s">
        <v>65</v>
      </c>
      <c r="V235">
        <v>25</v>
      </c>
      <c r="W235" t="s">
        <v>38</v>
      </c>
      <c r="X235" t="s">
        <v>237</v>
      </c>
      <c r="Y235" t="s">
        <v>48</v>
      </c>
    </row>
    <row r="236" spans="1:25" x14ac:dyDescent="0.45">
      <c r="A236" t="s">
        <v>767</v>
      </c>
      <c r="B236" t="s">
        <v>25</v>
      </c>
      <c r="C236" s="3" t="s">
        <v>26</v>
      </c>
      <c r="D236" s="3">
        <f t="shared" si="6"/>
        <v>44840</v>
      </c>
      <c r="E236" t="s">
        <v>768</v>
      </c>
      <c r="F236" s="4">
        <f t="shared" si="7"/>
        <v>0.56736111111111109</v>
      </c>
      <c r="G236" t="s">
        <v>769</v>
      </c>
      <c r="H236" t="s">
        <v>30</v>
      </c>
      <c r="I236" t="s">
        <v>31</v>
      </c>
      <c r="J236" t="s">
        <v>53</v>
      </c>
      <c r="K236" t="s">
        <v>33</v>
      </c>
      <c r="L236" t="s">
        <v>34</v>
      </c>
      <c r="M236">
        <v>4</v>
      </c>
      <c r="N236">
        <v>10</v>
      </c>
      <c r="O236">
        <v>10</v>
      </c>
      <c r="P236">
        <v>8</v>
      </c>
      <c r="Q236">
        <v>8</v>
      </c>
      <c r="R236">
        <v>10</v>
      </c>
      <c r="S236" t="s">
        <v>55</v>
      </c>
      <c r="T236" t="s">
        <v>56</v>
      </c>
      <c r="U236" t="s">
        <v>37</v>
      </c>
      <c r="V236">
        <v>30</v>
      </c>
      <c r="W236" t="s">
        <v>261</v>
      </c>
      <c r="X236" t="s">
        <v>240</v>
      </c>
      <c r="Y236" t="s">
        <v>91</v>
      </c>
    </row>
    <row r="237" spans="1:25" x14ac:dyDescent="0.45">
      <c r="A237" t="s">
        <v>770</v>
      </c>
      <c r="B237" t="s">
        <v>25</v>
      </c>
      <c r="C237" s="3" t="s">
        <v>26</v>
      </c>
      <c r="D237" s="3">
        <f t="shared" si="6"/>
        <v>44840</v>
      </c>
      <c r="E237" t="s">
        <v>771</v>
      </c>
      <c r="F237" s="4">
        <f t="shared" si="7"/>
        <v>0.56874999999999998</v>
      </c>
      <c r="G237" t="s">
        <v>250</v>
      </c>
      <c r="H237" t="s">
        <v>30</v>
      </c>
      <c r="I237" t="s">
        <v>31</v>
      </c>
      <c r="J237" t="s">
        <v>44</v>
      </c>
      <c r="K237" t="s">
        <v>33</v>
      </c>
      <c r="L237" t="s">
        <v>46</v>
      </c>
      <c r="M237">
        <v>0</v>
      </c>
      <c r="N237">
        <v>6</v>
      </c>
      <c r="O237">
        <v>5</v>
      </c>
      <c r="P237">
        <v>6</v>
      </c>
      <c r="Q237">
        <v>0</v>
      </c>
      <c r="R237">
        <v>2</v>
      </c>
      <c r="S237" t="s">
        <v>55</v>
      </c>
      <c r="T237" t="s">
        <v>772</v>
      </c>
      <c r="U237" t="s">
        <v>37</v>
      </c>
      <c r="V237">
        <v>28</v>
      </c>
      <c r="W237" t="s">
        <v>38</v>
      </c>
      <c r="X237" t="s">
        <v>240</v>
      </c>
      <c r="Y237" t="s">
        <v>91</v>
      </c>
    </row>
    <row r="238" spans="1:25" x14ac:dyDescent="0.45">
      <c r="A238" t="s">
        <v>773</v>
      </c>
      <c r="B238" t="s">
        <v>25</v>
      </c>
      <c r="C238" s="3" t="s">
        <v>26</v>
      </c>
      <c r="D238" s="3">
        <f t="shared" si="6"/>
        <v>44840</v>
      </c>
      <c r="E238" t="s">
        <v>774</v>
      </c>
      <c r="F238" s="4">
        <f t="shared" si="7"/>
        <v>0.56944444444444442</v>
      </c>
      <c r="G238" t="s">
        <v>171</v>
      </c>
      <c r="H238" t="s">
        <v>30</v>
      </c>
      <c r="I238" t="s">
        <v>43</v>
      </c>
      <c r="J238" t="s">
        <v>82</v>
      </c>
      <c r="K238" t="s">
        <v>45</v>
      </c>
      <c r="L238" t="s">
        <v>34</v>
      </c>
      <c r="M238">
        <v>6</v>
      </c>
      <c r="N238">
        <v>6</v>
      </c>
      <c r="O238">
        <v>5</v>
      </c>
      <c r="P238">
        <v>4</v>
      </c>
      <c r="Q238">
        <v>2</v>
      </c>
      <c r="R238">
        <v>4</v>
      </c>
      <c r="S238" t="s">
        <v>55</v>
      </c>
      <c r="T238" t="s">
        <v>36</v>
      </c>
      <c r="U238" t="s">
        <v>37</v>
      </c>
      <c r="V238">
        <v>26</v>
      </c>
      <c r="W238" t="s">
        <v>38</v>
      </c>
      <c r="X238" t="s">
        <v>237</v>
      </c>
      <c r="Y238" t="s">
        <v>39</v>
      </c>
    </row>
    <row r="239" spans="1:25" x14ac:dyDescent="0.45">
      <c r="A239" t="s">
        <v>775</v>
      </c>
      <c r="B239" t="s">
        <v>25</v>
      </c>
      <c r="C239" s="3" t="s">
        <v>26</v>
      </c>
      <c r="D239" s="3">
        <f t="shared" si="6"/>
        <v>44840</v>
      </c>
      <c r="E239" t="s">
        <v>776</v>
      </c>
      <c r="F239" s="4">
        <f t="shared" si="7"/>
        <v>0.57708333333333328</v>
      </c>
      <c r="G239" t="s">
        <v>682</v>
      </c>
      <c r="H239" t="s">
        <v>77</v>
      </c>
      <c r="I239" t="s">
        <v>31</v>
      </c>
      <c r="J239" t="s">
        <v>82</v>
      </c>
      <c r="K239" t="s">
        <v>83</v>
      </c>
      <c r="L239" t="s">
        <v>34</v>
      </c>
      <c r="M239">
        <v>6</v>
      </c>
      <c r="N239">
        <v>7</v>
      </c>
      <c r="O239">
        <v>7</v>
      </c>
      <c r="P239">
        <v>10</v>
      </c>
      <c r="Q239">
        <v>6</v>
      </c>
      <c r="R239">
        <v>7</v>
      </c>
      <c r="S239" t="s">
        <v>85</v>
      </c>
      <c r="T239" t="s">
        <v>36</v>
      </c>
      <c r="U239" t="s">
        <v>65</v>
      </c>
      <c r="V239">
        <v>32</v>
      </c>
      <c r="W239" t="s">
        <v>38</v>
      </c>
      <c r="X239" t="s">
        <v>240</v>
      </c>
      <c r="Y239" t="s">
        <v>39</v>
      </c>
    </row>
    <row r="240" spans="1:25" x14ac:dyDescent="0.45">
      <c r="A240" t="s">
        <v>777</v>
      </c>
      <c r="B240" t="s">
        <v>25</v>
      </c>
      <c r="C240" s="3" t="s">
        <v>26</v>
      </c>
      <c r="D240" s="3">
        <f t="shared" si="6"/>
        <v>44840</v>
      </c>
      <c r="E240" t="s">
        <v>778</v>
      </c>
      <c r="F240" s="4">
        <f t="shared" si="7"/>
        <v>0.57777777777777772</v>
      </c>
      <c r="G240" t="s">
        <v>304</v>
      </c>
      <c r="H240" t="s">
        <v>30</v>
      </c>
      <c r="I240" t="s">
        <v>31</v>
      </c>
      <c r="J240" t="s">
        <v>53</v>
      </c>
      <c r="K240" t="s">
        <v>779</v>
      </c>
      <c r="L240" t="s">
        <v>318</v>
      </c>
      <c r="M240">
        <v>3</v>
      </c>
      <c r="N240">
        <v>5</v>
      </c>
      <c r="O240">
        <v>6</v>
      </c>
      <c r="P240">
        <v>4</v>
      </c>
      <c r="Q240">
        <v>6</v>
      </c>
      <c r="R240">
        <v>6</v>
      </c>
      <c r="S240" t="s">
        <v>85</v>
      </c>
      <c r="T240" t="s">
        <v>70</v>
      </c>
      <c r="U240" t="s">
        <v>65</v>
      </c>
      <c r="V240">
        <v>40</v>
      </c>
      <c r="W240" t="s">
        <v>500</v>
      </c>
      <c r="X240" t="s">
        <v>324</v>
      </c>
      <c r="Y240" t="s">
        <v>39</v>
      </c>
    </row>
    <row r="241" spans="1:25" x14ac:dyDescent="0.45">
      <c r="A241" t="s">
        <v>780</v>
      </c>
      <c r="B241" t="s">
        <v>25</v>
      </c>
      <c r="C241" s="3" t="s">
        <v>26</v>
      </c>
      <c r="D241" s="3">
        <f t="shared" si="6"/>
        <v>44840</v>
      </c>
      <c r="E241" t="s">
        <v>781</v>
      </c>
      <c r="F241" s="4">
        <f t="shared" si="7"/>
        <v>0.57916666666666672</v>
      </c>
      <c r="G241" t="s">
        <v>193</v>
      </c>
      <c r="H241" t="s">
        <v>52</v>
      </c>
      <c r="I241" t="s">
        <v>31</v>
      </c>
      <c r="J241" t="s">
        <v>53</v>
      </c>
      <c r="K241" t="s">
        <v>491</v>
      </c>
      <c r="L241" t="s">
        <v>34</v>
      </c>
      <c r="M241">
        <v>4</v>
      </c>
      <c r="N241">
        <v>7</v>
      </c>
      <c r="O241">
        <v>7</v>
      </c>
      <c r="P241">
        <v>6</v>
      </c>
      <c r="Q241">
        <v>8</v>
      </c>
      <c r="R241">
        <v>7</v>
      </c>
      <c r="S241" t="s">
        <v>85</v>
      </c>
      <c r="T241" t="s">
        <v>70</v>
      </c>
      <c r="U241" t="s">
        <v>37</v>
      </c>
      <c r="V241">
        <v>36</v>
      </c>
      <c r="W241" t="s">
        <v>565</v>
      </c>
      <c r="X241" t="s">
        <v>262</v>
      </c>
      <c r="Y241" t="s">
        <v>48</v>
      </c>
    </row>
    <row r="242" spans="1:25" x14ac:dyDescent="0.45">
      <c r="A242" t="s">
        <v>782</v>
      </c>
      <c r="B242" t="s">
        <v>25</v>
      </c>
      <c r="C242" s="3">
        <v>44840</v>
      </c>
      <c r="D242" s="3" t="e">
        <f t="shared" si="6"/>
        <v>#VALUE!</v>
      </c>
      <c r="E242" t="s">
        <v>781</v>
      </c>
      <c r="F242" s="4">
        <f t="shared" si="7"/>
        <v>0.57916666666666672</v>
      </c>
      <c r="G242" t="s">
        <v>93</v>
      </c>
      <c r="H242" t="s">
        <v>30</v>
      </c>
      <c r="I242" t="s">
        <v>31</v>
      </c>
      <c r="J242" t="s">
        <v>94</v>
      </c>
      <c r="K242" t="s">
        <v>45</v>
      </c>
      <c r="L242" t="s">
        <v>34</v>
      </c>
      <c r="M242">
        <v>6</v>
      </c>
      <c r="N242">
        <v>10</v>
      </c>
      <c r="O242">
        <v>9</v>
      </c>
      <c r="P242">
        <v>9</v>
      </c>
      <c r="Q242">
        <v>9</v>
      </c>
      <c r="R242">
        <v>10</v>
      </c>
      <c r="S242" t="s">
        <v>69</v>
      </c>
      <c r="T242" t="s">
        <v>70</v>
      </c>
      <c r="U242" t="s">
        <v>37</v>
      </c>
      <c r="V242">
        <v>35</v>
      </c>
      <c r="W242" t="s">
        <v>38</v>
      </c>
      <c r="X242" t="s">
        <v>237</v>
      </c>
      <c r="Y242" t="s">
        <v>91</v>
      </c>
    </row>
    <row r="243" spans="1:25" x14ac:dyDescent="0.45">
      <c r="A243" t="s">
        <v>783</v>
      </c>
      <c r="B243" t="s">
        <v>25</v>
      </c>
      <c r="C243" s="3" t="s">
        <v>26</v>
      </c>
      <c r="D243" s="3">
        <f t="shared" si="6"/>
        <v>44840</v>
      </c>
      <c r="E243" t="s">
        <v>784</v>
      </c>
      <c r="F243" s="4">
        <f t="shared" si="7"/>
        <v>0.5805555555555556</v>
      </c>
      <c r="G243" t="s">
        <v>700</v>
      </c>
      <c r="H243" t="s">
        <v>30</v>
      </c>
      <c r="I243" t="s">
        <v>31</v>
      </c>
      <c r="J243" t="s">
        <v>94</v>
      </c>
      <c r="K243" t="s">
        <v>103</v>
      </c>
      <c r="L243" t="s">
        <v>34</v>
      </c>
      <c r="M243">
        <v>3</v>
      </c>
      <c r="N243">
        <v>4</v>
      </c>
      <c r="O243">
        <v>4</v>
      </c>
      <c r="P243">
        <v>4</v>
      </c>
      <c r="Q243">
        <v>5</v>
      </c>
      <c r="R243">
        <v>5</v>
      </c>
      <c r="S243" t="s">
        <v>35</v>
      </c>
      <c r="T243" t="s">
        <v>56</v>
      </c>
      <c r="U243" t="s">
        <v>37</v>
      </c>
      <c r="V243">
        <v>29</v>
      </c>
      <c r="W243" t="s">
        <v>38</v>
      </c>
      <c r="X243" t="s">
        <v>240</v>
      </c>
      <c r="Y243" t="s">
        <v>48</v>
      </c>
    </row>
    <row r="244" spans="1:25" x14ac:dyDescent="0.45">
      <c r="A244" t="s">
        <v>785</v>
      </c>
      <c r="B244" t="s">
        <v>25</v>
      </c>
      <c r="C244" s="3" t="s">
        <v>26</v>
      </c>
      <c r="D244" s="3">
        <f t="shared" si="6"/>
        <v>44840</v>
      </c>
      <c r="E244" t="s">
        <v>784</v>
      </c>
      <c r="F244" s="4">
        <f t="shared" si="7"/>
        <v>0.5805555555555556</v>
      </c>
      <c r="G244" t="s">
        <v>786</v>
      </c>
      <c r="H244" t="s">
        <v>30</v>
      </c>
      <c r="I244" t="s">
        <v>43</v>
      </c>
      <c r="J244" t="s">
        <v>44</v>
      </c>
      <c r="K244" t="s">
        <v>45</v>
      </c>
      <c r="L244" t="s">
        <v>34</v>
      </c>
      <c r="M244">
        <v>6</v>
      </c>
      <c r="N244">
        <v>5</v>
      </c>
      <c r="O244">
        <v>9</v>
      </c>
      <c r="P244">
        <v>9</v>
      </c>
      <c r="Q244">
        <v>7</v>
      </c>
      <c r="R244">
        <v>5</v>
      </c>
      <c r="S244" t="s">
        <v>85</v>
      </c>
      <c r="T244" t="s">
        <v>787</v>
      </c>
      <c r="U244" t="s">
        <v>65</v>
      </c>
      <c r="V244">
        <v>25</v>
      </c>
      <c r="W244" t="s">
        <v>267</v>
      </c>
      <c r="X244" t="s">
        <v>240</v>
      </c>
      <c r="Y244" t="s">
        <v>91</v>
      </c>
    </row>
    <row r="245" spans="1:25" x14ac:dyDescent="0.45">
      <c r="A245" t="s">
        <v>788</v>
      </c>
      <c r="B245" t="s">
        <v>25</v>
      </c>
      <c r="C245" s="3" t="s">
        <v>26</v>
      </c>
      <c r="D245" s="3">
        <f t="shared" si="6"/>
        <v>44840</v>
      </c>
      <c r="E245" t="s">
        <v>784</v>
      </c>
      <c r="F245" s="4">
        <f t="shared" si="7"/>
        <v>0.5805555555555556</v>
      </c>
      <c r="G245" t="s">
        <v>789</v>
      </c>
      <c r="H245" t="s">
        <v>790</v>
      </c>
      <c r="I245" t="s">
        <v>31</v>
      </c>
      <c r="J245" t="s">
        <v>44</v>
      </c>
      <c r="K245" t="s">
        <v>791</v>
      </c>
      <c r="L245" t="s">
        <v>34</v>
      </c>
      <c r="M245">
        <v>6</v>
      </c>
      <c r="N245">
        <v>8</v>
      </c>
      <c r="O245">
        <v>8</v>
      </c>
      <c r="P245">
        <v>9</v>
      </c>
      <c r="Q245">
        <v>6</v>
      </c>
      <c r="R245">
        <v>8</v>
      </c>
      <c r="S245" t="s">
        <v>69</v>
      </c>
      <c r="T245" t="s">
        <v>36</v>
      </c>
      <c r="U245" t="s">
        <v>37</v>
      </c>
      <c r="V245">
        <v>29</v>
      </c>
      <c r="W245" t="s">
        <v>38</v>
      </c>
      <c r="X245" t="s">
        <v>237</v>
      </c>
      <c r="Y245" t="s">
        <v>39</v>
      </c>
    </row>
    <row r="246" spans="1:25" x14ac:dyDescent="0.45">
      <c r="A246" t="s">
        <v>792</v>
      </c>
      <c r="B246" t="s">
        <v>25</v>
      </c>
      <c r="C246" s="3" t="s">
        <v>26</v>
      </c>
      <c r="D246" s="3">
        <f t="shared" si="6"/>
        <v>44840</v>
      </c>
      <c r="E246" t="s">
        <v>793</v>
      </c>
      <c r="F246" s="4">
        <f t="shared" si="7"/>
        <v>0.58402777777777781</v>
      </c>
      <c r="G246" t="s">
        <v>265</v>
      </c>
      <c r="H246" t="s">
        <v>30</v>
      </c>
      <c r="I246" t="s">
        <v>43</v>
      </c>
      <c r="J246" t="s">
        <v>87</v>
      </c>
      <c r="K246" t="s">
        <v>794</v>
      </c>
      <c r="L246" t="s">
        <v>34</v>
      </c>
      <c r="M246">
        <v>7</v>
      </c>
      <c r="N246">
        <v>6</v>
      </c>
      <c r="O246">
        <v>7</v>
      </c>
      <c r="P246">
        <v>4</v>
      </c>
      <c r="Q246">
        <v>5</v>
      </c>
      <c r="R246">
        <v>8</v>
      </c>
      <c r="S246" t="s">
        <v>69</v>
      </c>
      <c r="T246" t="s">
        <v>56</v>
      </c>
      <c r="U246" t="s">
        <v>37</v>
      </c>
      <c r="V246">
        <v>26</v>
      </c>
      <c r="W246" t="s">
        <v>38</v>
      </c>
      <c r="X246" t="s">
        <v>237</v>
      </c>
      <c r="Y246" t="s">
        <v>58</v>
      </c>
    </row>
    <row r="247" spans="1:25" x14ac:dyDescent="0.45">
      <c r="A247" t="s">
        <v>795</v>
      </c>
      <c r="B247" t="s">
        <v>25</v>
      </c>
      <c r="C247" s="3" t="s">
        <v>26</v>
      </c>
      <c r="D247" s="3">
        <f t="shared" si="6"/>
        <v>44840</v>
      </c>
      <c r="E247" t="s">
        <v>793</v>
      </c>
      <c r="F247" s="4">
        <f t="shared" si="7"/>
        <v>0.58402777777777781</v>
      </c>
      <c r="G247" t="s">
        <v>371</v>
      </c>
      <c r="H247" t="s">
        <v>30</v>
      </c>
      <c r="I247" t="s">
        <v>43</v>
      </c>
      <c r="J247" t="s">
        <v>53</v>
      </c>
      <c r="K247" t="s">
        <v>340</v>
      </c>
      <c r="L247" t="s">
        <v>46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 t="s">
        <v>85</v>
      </c>
      <c r="T247" t="s">
        <v>36</v>
      </c>
      <c r="U247" t="s">
        <v>37</v>
      </c>
      <c r="V247">
        <v>34</v>
      </c>
      <c r="W247" t="s">
        <v>796</v>
      </c>
      <c r="X247" t="s">
        <v>237</v>
      </c>
      <c r="Y247" t="s">
        <v>58</v>
      </c>
    </row>
    <row r="248" spans="1:25" x14ac:dyDescent="0.45">
      <c r="A248" t="s">
        <v>797</v>
      </c>
      <c r="B248" t="s">
        <v>25</v>
      </c>
      <c r="C248" s="3" t="s">
        <v>26</v>
      </c>
      <c r="D248" s="3">
        <f t="shared" si="6"/>
        <v>44840</v>
      </c>
      <c r="E248" t="s">
        <v>798</v>
      </c>
      <c r="F248" s="4">
        <f t="shared" si="7"/>
        <v>0.58472222222222225</v>
      </c>
      <c r="G248" t="s">
        <v>89</v>
      </c>
      <c r="H248" t="s">
        <v>30</v>
      </c>
      <c r="I248" t="s">
        <v>31</v>
      </c>
      <c r="J248" t="s">
        <v>53</v>
      </c>
      <c r="K248" t="s">
        <v>45</v>
      </c>
      <c r="L248" t="s">
        <v>34</v>
      </c>
      <c r="M248">
        <v>5</v>
      </c>
      <c r="N248">
        <v>2</v>
      </c>
      <c r="O248">
        <v>5</v>
      </c>
      <c r="P248">
        <v>4</v>
      </c>
      <c r="Q248">
        <v>3</v>
      </c>
      <c r="R248">
        <v>5</v>
      </c>
      <c r="S248" t="s">
        <v>85</v>
      </c>
      <c r="T248" t="s">
        <v>56</v>
      </c>
      <c r="U248" t="s">
        <v>37</v>
      </c>
      <c r="V248">
        <v>26</v>
      </c>
      <c r="W248" t="s">
        <v>444</v>
      </c>
      <c r="X248" t="s">
        <v>237</v>
      </c>
      <c r="Y248" t="s">
        <v>39</v>
      </c>
    </row>
    <row r="249" spans="1:25" x14ac:dyDescent="0.45">
      <c r="A249" t="s">
        <v>799</v>
      </c>
      <c r="B249" t="s">
        <v>25</v>
      </c>
      <c r="C249" s="3" t="s">
        <v>26</v>
      </c>
      <c r="D249" s="3">
        <f t="shared" si="6"/>
        <v>44840</v>
      </c>
      <c r="E249" t="s">
        <v>800</v>
      </c>
      <c r="F249" s="4">
        <f t="shared" si="7"/>
        <v>0.58680555555555558</v>
      </c>
      <c r="G249" t="s">
        <v>801</v>
      </c>
      <c r="H249" t="s">
        <v>30</v>
      </c>
      <c r="I249" t="s">
        <v>43</v>
      </c>
      <c r="J249" t="s">
        <v>53</v>
      </c>
      <c r="K249" t="s">
        <v>103</v>
      </c>
      <c r="L249" t="s">
        <v>34</v>
      </c>
      <c r="M249">
        <v>3</v>
      </c>
      <c r="N249">
        <v>3</v>
      </c>
      <c r="O249">
        <v>5</v>
      </c>
      <c r="P249">
        <v>4</v>
      </c>
      <c r="Q249">
        <v>3</v>
      </c>
      <c r="R249">
        <v>2</v>
      </c>
      <c r="S249" t="s">
        <v>69</v>
      </c>
      <c r="T249" t="s">
        <v>802</v>
      </c>
      <c r="U249" t="s">
        <v>65</v>
      </c>
      <c r="V249">
        <v>22</v>
      </c>
      <c r="W249" t="s">
        <v>147</v>
      </c>
      <c r="X249" t="s">
        <v>237</v>
      </c>
      <c r="Y249" t="s">
        <v>48</v>
      </c>
    </row>
    <row r="250" spans="1:25" x14ac:dyDescent="0.45">
      <c r="A250" t="s">
        <v>803</v>
      </c>
      <c r="B250" t="s">
        <v>25</v>
      </c>
      <c r="C250" s="3" t="s">
        <v>26</v>
      </c>
      <c r="D250" s="3">
        <f t="shared" si="6"/>
        <v>44840</v>
      </c>
      <c r="E250" t="s">
        <v>804</v>
      </c>
      <c r="F250" s="4">
        <f t="shared" si="7"/>
        <v>0.58958333333333335</v>
      </c>
      <c r="G250" t="s">
        <v>682</v>
      </c>
      <c r="H250" t="s">
        <v>123</v>
      </c>
      <c r="I250" t="s">
        <v>31</v>
      </c>
      <c r="J250" t="s">
        <v>53</v>
      </c>
      <c r="K250" t="s">
        <v>113</v>
      </c>
      <c r="L250" t="s">
        <v>34</v>
      </c>
      <c r="M250">
        <v>0</v>
      </c>
      <c r="N250">
        <v>2</v>
      </c>
      <c r="O250">
        <v>0</v>
      </c>
      <c r="P250">
        <v>1</v>
      </c>
      <c r="Q250">
        <v>1</v>
      </c>
      <c r="R250">
        <v>2</v>
      </c>
      <c r="S250" t="s">
        <v>35</v>
      </c>
      <c r="T250" t="s">
        <v>36</v>
      </c>
      <c r="U250" t="s">
        <v>65</v>
      </c>
      <c r="V250">
        <v>24</v>
      </c>
      <c r="W250" t="s">
        <v>132</v>
      </c>
      <c r="X250" t="s">
        <v>237</v>
      </c>
      <c r="Y250" t="s">
        <v>58</v>
      </c>
    </row>
    <row r="251" spans="1:25" x14ac:dyDescent="0.45">
      <c r="A251" t="s">
        <v>805</v>
      </c>
      <c r="B251" t="s">
        <v>25</v>
      </c>
      <c r="C251" s="3" t="s">
        <v>26</v>
      </c>
      <c r="D251" s="3">
        <f t="shared" si="6"/>
        <v>44840</v>
      </c>
      <c r="E251" t="s">
        <v>806</v>
      </c>
      <c r="F251" s="4">
        <f t="shared" si="7"/>
        <v>0.59166666666666667</v>
      </c>
      <c r="G251" t="s">
        <v>339</v>
      </c>
      <c r="H251" t="s">
        <v>30</v>
      </c>
      <c r="I251" t="s">
        <v>43</v>
      </c>
      <c r="J251" t="s">
        <v>53</v>
      </c>
      <c r="K251" t="s">
        <v>807</v>
      </c>
      <c r="L251" t="s">
        <v>34</v>
      </c>
      <c r="M251">
        <v>3</v>
      </c>
      <c r="N251">
        <v>6</v>
      </c>
      <c r="O251">
        <v>6</v>
      </c>
      <c r="P251">
        <v>6</v>
      </c>
      <c r="Q251">
        <v>4</v>
      </c>
      <c r="R251">
        <v>3</v>
      </c>
      <c r="S251" t="s">
        <v>85</v>
      </c>
      <c r="T251" t="s">
        <v>70</v>
      </c>
      <c r="U251" t="s">
        <v>37</v>
      </c>
      <c r="V251">
        <v>26</v>
      </c>
      <c r="W251" t="s">
        <v>403</v>
      </c>
      <c r="X251" t="s">
        <v>237</v>
      </c>
      <c r="Y251" t="s">
        <v>91</v>
      </c>
    </row>
    <row r="252" spans="1:25" x14ac:dyDescent="0.45">
      <c r="A252" t="s">
        <v>808</v>
      </c>
      <c r="B252" t="s">
        <v>25</v>
      </c>
      <c r="C252" s="3" t="s">
        <v>26</v>
      </c>
      <c r="D252" s="3">
        <f t="shared" si="6"/>
        <v>44840</v>
      </c>
      <c r="E252" t="s">
        <v>806</v>
      </c>
      <c r="F252" s="4">
        <f t="shared" si="7"/>
        <v>0.59166666666666667</v>
      </c>
      <c r="G252" t="s">
        <v>809</v>
      </c>
      <c r="H252" t="s">
        <v>724</v>
      </c>
      <c r="I252" t="s">
        <v>31</v>
      </c>
      <c r="J252" t="s">
        <v>53</v>
      </c>
      <c r="K252" t="s">
        <v>45</v>
      </c>
      <c r="L252" t="s">
        <v>34</v>
      </c>
      <c r="M252">
        <v>5</v>
      </c>
      <c r="N252">
        <v>6</v>
      </c>
      <c r="O252">
        <v>2</v>
      </c>
      <c r="P252">
        <v>3</v>
      </c>
      <c r="Q252">
        <v>3</v>
      </c>
      <c r="R252">
        <v>5</v>
      </c>
      <c r="S252" t="s">
        <v>35</v>
      </c>
      <c r="T252" t="s">
        <v>56</v>
      </c>
      <c r="U252" t="s">
        <v>65</v>
      </c>
      <c r="V252">
        <v>34</v>
      </c>
      <c r="W252" t="s">
        <v>810</v>
      </c>
      <c r="X252" t="s">
        <v>240</v>
      </c>
      <c r="Y252" t="s">
        <v>39</v>
      </c>
    </row>
    <row r="253" spans="1:25" x14ac:dyDescent="0.45">
      <c r="A253" t="s">
        <v>811</v>
      </c>
      <c r="B253" t="s">
        <v>25</v>
      </c>
      <c r="C253" s="3" t="s">
        <v>26</v>
      </c>
      <c r="D253" s="3">
        <f t="shared" si="6"/>
        <v>44840</v>
      </c>
      <c r="E253" t="s">
        <v>812</v>
      </c>
      <c r="F253" s="4">
        <f t="shared" si="7"/>
        <v>0.59236111111111112</v>
      </c>
      <c r="G253" t="s">
        <v>813</v>
      </c>
      <c r="H253" t="s">
        <v>30</v>
      </c>
      <c r="I253" t="s">
        <v>43</v>
      </c>
      <c r="J253" t="s">
        <v>53</v>
      </c>
      <c r="K253" t="s">
        <v>103</v>
      </c>
      <c r="L253" t="s">
        <v>34</v>
      </c>
      <c r="M253">
        <v>3</v>
      </c>
      <c r="N253">
        <v>5</v>
      </c>
      <c r="O253">
        <v>4</v>
      </c>
      <c r="P253">
        <v>5</v>
      </c>
      <c r="Q253">
        <v>4</v>
      </c>
      <c r="R253">
        <v>2</v>
      </c>
      <c r="S253" t="s">
        <v>85</v>
      </c>
      <c r="T253" t="s">
        <v>70</v>
      </c>
      <c r="U253" t="s">
        <v>37</v>
      </c>
      <c r="V253">
        <v>29</v>
      </c>
      <c r="W253" t="s">
        <v>147</v>
      </c>
      <c r="X253" t="s">
        <v>237</v>
      </c>
      <c r="Y253" t="s">
        <v>48</v>
      </c>
    </row>
    <row r="254" spans="1:25" x14ac:dyDescent="0.45">
      <c r="A254" t="s">
        <v>814</v>
      </c>
      <c r="B254" t="s">
        <v>25</v>
      </c>
      <c r="C254" s="3" t="s">
        <v>26</v>
      </c>
      <c r="D254" s="3">
        <f t="shared" si="6"/>
        <v>44840</v>
      </c>
      <c r="E254" t="s">
        <v>815</v>
      </c>
      <c r="F254" s="4">
        <f t="shared" si="7"/>
        <v>0.59305555555555556</v>
      </c>
      <c r="G254" t="s">
        <v>89</v>
      </c>
      <c r="H254" t="s">
        <v>77</v>
      </c>
      <c r="I254" t="s">
        <v>43</v>
      </c>
      <c r="J254" t="s">
        <v>53</v>
      </c>
      <c r="K254" t="s">
        <v>103</v>
      </c>
      <c r="L254" t="s">
        <v>46</v>
      </c>
      <c r="M254">
        <v>2</v>
      </c>
      <c r="N254">
        <v>7</v>
      </c>
      <c r="O254">
        <v>7</v>
      </c>
      <c r="P254">
        <v>7</v>
      </c>
      <c r="Q254">
        <v>7</v>
      </c>
      <c r="R254">
        <v>7</v>
      </c>
      <c r="S254" t="s">
        <v>55</v>
      </c>
      <c r="T254" t="s">
        <v>70</v>
      </c>
      <c r="U254" t="s">
        <v>37</v>
      </c>
      <c r="V254">
        <v>21</v>
      </c>
      <c r="W254" t="s">
        <v>57</v>
      </c>
      <c r="X254" t="s">
        <v>237</v>
      </c>
      <c r="Y254" t="s">
        <v>58</v>
      </c>
    </row>
    <row r="255" spans="1:25" x14ac:dyDescent="0.45">
      <c r="A255" t="s">
        <v>816</v>
      </c>
      <c r="B255" t="s">
        <v>25</v>
      </c>
      <c r="C255" s="3" t="s">
        <v>26</v>
      </c>
      <c r="D255" s="3">
        <f t="shared" si="6"/>
        <v>44840</v>
      </c>
      <c r="E255" t="s">
        <v>815</v>
      </c>
      <c r="F255" s="4">
        <f t="shared" si="7"/>
        <v>0.59305555555555556</v>
      </c>
      <c r="G255" t="s">
        <v>224</v>
      </c>
      <c r="H255" t="s">
        <v>817</v>
      </c>
      <c r="I255" t="s">
        <v>43</v>
      </c>
      <c r="J255" t="s">
        <v>53</v>
      </c>
      <c r="K255" t="s">
        <v>818</v>
      </c>
      <c r="L255" t="s">
        <v>34</v>
      </c>
      <c r="M255">
        <v>2</v>
      </c>
      <c r="N255">
        <v>4</v>
      </c>
      <c r="O255">
        <v>5</v>
      </c>
      <c r="P255">
        <v>3</v>
      </c>
      <c r="Q255">
        <v>1</v>
      </c>
      <c r="R255">
        <v>1</v>
      </c>
      <c r="S255" t="s">
        <v>85</v>
      </c>
      <c r="T255" t="s">
        <v>56</v>
      </c>
      <c r="U255" t="s">
        <v>65</v>
      </c>
      <c r="V255">
        <v>35</v>
      </c>
      <c r="W255" t="s">
        <v>819</v>
      </c>
      <c r="X255" t="s">
        <v>240</v>
      </c>
      <c r="Y255" t="s">
        <v>39</v>
      </c>
    </row>
    <row r="256" spans="1:25" x14ac:dyDescent="0.45">
      <c r="A256" t="s">
        <v>820</v>
      </c>
      <c r="B256" t="s">
        <v>25</v>
      </c>
      <c r="C256" s="3" t="s">
        <v>26</v>
      </c>
      <c r="D256" s="3">
        <f t="shared" si="6"/>
        <v>44840</v>
      </c>
      <c r="E256" t="s">
        <v>821</v>
      </c>
      <c r="F256" s="4">
        <f t="shared" si="7"/>
        <v>0.59375</v>
      </c>
      <c r="G256" t="s">
        <v>822</v>
      </c>
      <c r="H256" t="s">
        <v>30</v>
      </c>
      <c r="I256" t="s">
        <v>43</v>
      </c>
      <c r="J256" t="s">
        <v>44</v>
      </c>
      <c r="K256" t="s">
        <v>108</v>
      </c>
      <c r="L256" t="s">
        <v>34</v>
      </c>
      <c r="M256">
        <v>7</v>
      </c>
      <c r="N256">
        <v>7</v>
      </c>
      <c r="O256">
        <v>8</v>
      </c>
      <c r="P256">
        <v>8</v>
      </c>
      <c r="Q256">
        <v>6</v>
      </c>
      <c r="R256">
        <v>7</v>
      </c>
      <c r="S256" t="s">
        <v>85</v>
      </c>
      <c r="T256" t="s">
        <v>56</v>
      </c>
      <c r="U256" t="s">
        <v>37</v>
      </c>
      <c r="V256">
        <v>26</v>
      </c>
      <c r="W256" t="s">
        <v>38</v>
      </c>
      <c r="X256" t="s">
        <v>237</v>
      </c>
      <c r="Y256" t="s">
        <v>58</v>
      </c>
    </row>
    <row r="257" spans="1:25" x14ac:dyDescent="0.45">
      <c r="A257" t="s">
        <v>823</v>
      </c>
      <c r="B257" t="s">
        <v>25</v>
      </c>
      <c r="C257" s="3" t="s">
        <v>26</v>
      </c>
      <c r="D257" s="3">
        <f t="shared" si="6"/>
        <v>44840</v>
      </c>
      <c r="E257" t="s">
        <v>824</v>
      </c>
      <c r="F257" s="4">
        <f t="shared" si="7"/>
        <v>0.59444444444444444</v>
      </c>
      <c r="G257" t="s">
        <v>825</v>
      </c>
      <c r="H257" t="s">
        <v>30</v>
      </c>
      <c r="I257" t="s">
        <v>31</v>
      </c>
      <c r="J257" t="s">
        <v>44</v>
      </c>
      <c r="K257" t="s">
        <v>826</v>
      </c>
      <c r="L257" t="s">
        <v>34</v>
      </c>
      <c r="M257">
        <v>2</v>
      </c>
      <c r="N257">
        <v>4</v>
      </c>
      <c r="O257">
        <v>7</v>
      </c>
      <c r="P257">
        <v>10</v>
      </c>
      <c r="Q257">
        <v>5</v>
      </c>
      <c r="R257">
        <v>10</v>
      </c>
      <c r="S257" t="s">
        <v>85</v>
      </c>
      <c r="T257" t="s">
        <v>36</v>
      </c>
      <c r="U257" t="s">
        <v>37</v>
      </c>
      <c r="V257">
        <v>28</v>
      </c>
      <c r="W257" t="s">
        <v>38</v>
      </c>
      <c r="X257" t="s">
        <v>237</v>
      </c>
      <c r="Y257" t="s">
        <v>39</v>
      </c>
    </row>
    <row r="258" spans="1:25" x14ac:dyDescent="0.45">
      <c r="A258" t="s">
        <v>827</v>
      </c>
      <c r="B258" t="s">
        <v>25</v>
      </c>
      <c r="C258" s="3" t="s">
        <v>26</v>
      </c>
      <c r="D258" s="3">
        <f t="shared" si="6"/>
        <v>44840</v>
      </c>
      <c r="E258" t="s">
        <v>828</v>
      </c>
      <c r="F258" s="4">
        <f t="shared" si="7"/>
        <v>0.59930555555555554</v>
      </c>
      <c r="G258" t="s">
        <v>371</v>
      </c>
      <c r="H258" t="s">
        <v>829</v>
      </c>
      <c r="I258" t="s">
        <v>43</v>
      </c>
      <c r="J258" t="s">
        <v>44</v>
      </c>
      <c r="K258" t="s">
        <v>830</v>
      </c>
      <c r="L258" t="s">
        <v>34</v>
      </c>
      <c r="M258">
        <v>1</v>
      </c>
      <c r="N258">
        <v>5</v>
      </c>
      <c r="O258">
        <v>5</v>
      </c>
      <c r="P258">
        <v>1</v>
      </c>
      <c r="Q258">
        <v>0</v>
      </c>
      <c r="R258">
        <v>3</v>
      </c>
      <c r="S258" t="s">
        <v>55</v>
      </c>
      <c r="T258" t="s">
        <v>70</v>
      </c>
      <c r="U258" t="s">
        <v>65</v>
      </c>
      <c r="V258">
        <v>33</v>
      </c>
      <c r="W258" t="s">
        <v>38</v>
      </c>
      <c r="X258" t="s">
        <v>237</v>
      </c>
      <c r="Y258" t="s">
        <v>39</v>
      </c>
    </row>
    <row r="259" spans="1:25" x14ac:dyDescent="0.45">
      <c r="A259" t="s">
        <v>831</v>
      </c>
      <c r="B259" t="s">
        <v>25</v>
      </c>
      <c r="C259" s="3" t="s">
        <v>26</v>
      </c>
      <c r="D259" s="3">
        <f t="shared" ref="D259:D322" si="8">DATEVALUE(C259)</f>
        <v>44840</v>
      </c>
      <c r="E259" t="s">
        <v>832</v>
      </c>
      <c r="F259" s="4">
        <f t="shared" ref="F259:F322" si="9">TIMEVALUE(E259)</f>
        <v>0.60069444444444442</v>
      </c>
      <c r="G259" t="s">
        <v>229</v>
      </c>
      <c r="H259" t="s">
        <v>30</v>
      </c>
      <c r="I259" t="s">
        <v>31</v>
      </c>
      <c r="J259" t="s">
        <v>94</v>
      </c>
      <c r="K259" t="s">
        <v>393</v>
      </c>
      <c r="L259" t="s">
        <v>833</v>
      </c>
      <c r="M259">
        <v>7</v>
      </c>
      <c r="N259">
        <v>6</v>
      </c>
      <c r="O259">
        <v>5</v>
      </c>
      <c r="P259">
        <v>7</v>
      </c>
      <c r="Q259">
        <v>4</v>
      </c>
      <c r="R259">
        <v>4</v>
      </c>
      <c r="S259" t="s">
        <v>55</v>
      </c>
      <c r="T259" t="s">
        <v>70</v>
      </c>
      <c r="U259" t="s">
        <v>65</v>
      </c>
      <c r="V259">
        <v>56</v>
      </c>
      <c r="W259" t="s">
        <v>38</v>
      </c>
      <c r="X259" t="s">
        <v>237</v>
      </c>
      <c r="Y259" t="s">
        <v>39</v>
      </c>
    </row>
    <row r="260" spans="1:25" x14ac:dyDescent="0.45">
      <c r="A260" t="s">
        <v>834</v>
      </c>
      <c r="B260" t="s">
        <v>25</v>
      </c>
      <c r="C260" s="3" t="s">
        <v>26</v>
      </c>
      <c r="D260" s="3">
        <f t="shared" si="8"/>
        <v>44840</v>
      </c>
      <c r="E260" t="s">
        <v>835</v>
      </c>
      <c r="F260" s="4">
        <f t="shared" si="9"/>
        <v>0.60486111111111107</v>
      </c>
      <c r="G260" t="s">
        <v>836</v>
      </c>
      <c r="H260" t="s">
        <v>837</v>
      </c>
      <c r="I260" t="s">
        <v>43</v>
      </c>
      <c r="J260" t="s">
        <v>53</v>
      </c>
      <c r="K260" t="s">
        <v>838</v>
      </c>
      <c r="L260" t="s">
        <v>34</v>
      </c>
      <c r="M260">
        <v>3</v>
      </c>
      <c r="N260">
        <v>3</v>
      </c>
      <c r="O260">
        <v>6</v>
      </c>
      <c r="P260">
        <v>5</v>
      </c>
      <c r="Q260" t="s">
        <v>28</v>
      </c>
      <c r="R260">
        <v>4</v>
      </c>
      <c r="S260" t="s">
        <v>69</v>
      </c>
      <c r="T260" t="s">
        <v>56</v>
      </c>
      <c r="U260" t="s">
        <v>37</v>
      </c>
      <c r="V260">
        <v>23</v>
      </c>
      <c r="W260" t="s">
        <v>147</v>
      </c>
      <c r="X260" t="s">
        <v>237</v>
      </c>
      <c r="Y260" t="s">
        <v>48</v>
      </c>
    </row>
    <row r="261" spans="1:25" x14ac:dyDescent="0.45">
      <c r="A261" t="s">
        <v>839</v>
      </c>
      <c r="B261" t="s">
        <v>25</v>
      </c>
      <c r="C261" s="3" t="s">
        <v>26</v>
      </c>
      <c r="D261" s="3">
        <f t="shared" si="8"/>
        <v>44840</v>
      </c>
      <c r="E261" t="s">
        <v>840</v>
      </c>
      <c r="F261" s="4">
        <f t="shared" si="9"/>
        <v>0.6118055555555556</v>
      </c>
      <c r="G261" t="s">
        <v>490</v>
      </c>
      <c r="H261" t="s">
        <v>77</v>
      </c>
      <c r="I261" t="s">
        <v>31</v>
      </c>
      <c r="J261" t="s">
        <v>82</v>
      </c>
      <c r="K261" t="s">
        <v>33</v>
      </c>
      <c r="L261" t="s">
        <v>34</v>
      </c>
      <c r="M261">
        <v>4</v>
      </c>
      <c r="N261">
        <v>5</v>
      </c>
      <c r="O261">
        <v>5</v>
      </c>
      <c r="P261">
        <v>5</v>
      </c>
      <c r="Q261">
        <v>4</v>
      </c>
      <c r="R261">
        <v>5</v>
      </c>
      <c r="S261" t="s">
        <v>69</v>
      </c>
      <c r="T261" t="s">
        <v>70</v>
      </c>
      <c r="U261" t="s">
        <v>37</v>
      </c>
      <c r="V261">
        <v>28</v>
      </c>
      <c r="W261" t="s">
        <v>38</v>
      </c>
      <c r="X261" t="s">
        <v>240</v>
      </c>
      <c r="Y261" t="s">
        <v>39</v>
      </c>
    </row>
    <row r="262" spans="1:25" x14ac:dyDescent="0.45">
      <c r="A262" t="s">
        <v>841</v>
      </c>
      <c r="B262" t="s">
        <v>25</v>
      </c>
      <c r="C262" s="3" t="s">
        <v>26</v>
      </c>
      <c r="D262" s="3">
        <f t="shared" si="8"/>
        <v>44840</v>
      </c>
      <c r="E262" t="s">
        <v>842</v>
      </c>
      <c r="F262" s="4">
        <f t="shared" si="9"/>
        <v>0.61250000000000004</v>
      </c>
      <c r="G262" t="s">
        <v>250</v>
      </c>
      <c r="H262" t="s">
        <v>123</v>
      </c>
      <c r="I262" t="s">
        <v>43</v>
      </c>
      <c r="J262" t="s">
        <v>53</v>
      </c>
      <c r="K262" t="s">
        <v>843</v>
      </c>
      <c r="L262" t="s">
        <v>204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</v>
      </c>
      <c r="S262" t="s">
        <v>85</v>
      </c>
      <c r="T262" t="s">
        <v>36</v>
      </c>
      <c r="U262" t="s">
        <v>37</v>
      </c>
      <c r="V262">
        <v>21</v>
      </c>
      <c r="W262" t="s">
        <v>444</v>
      </c>
      <c r="X262" t="s">
        <v>227</v>
      </c>
      <c r="Y262" t="s">
        <v>39</v>
      </c>
    </row>
    <row r="263" spans="1:25" x14ac:dyDescent="0.45">
      <c r="A263" t="s">
        <v>844</v>
      </c>
      <c r="B263" t="s">
        <v>25</v>
      </c>
      <c r="C263" s="3" t="s">
        <v>26</v>
      </c>
      <c r="D263" s="3">
        <f t="shared" si="8"/>
        <v>44840</v>
      </c>
      <c r="E263" t="s">
        <v>845</v>
      </c>
      <c r="F263" s="4">
        <f t="shared" si="9"/>
        <v>0.61319444444444449</v>
      </c>
      <c r="G263" t="s">
        <v>143</v>
      </c>
      <c r="H263" t="s">
        <v>123</v>
      </c>
      <c r="I263" t="s">
        <v>43</v>
      </c>
      <c r="J263" t="s">
        <v>94</v>
      </c>
      <c r="K263" t="s">
        <v>846</v>
      </c>
      <c r="L263" t="s">
        <v>34</v>
      </c>
      <c r="M263">
        <v>2</v>
      </c>
      <c r="N263">
        <v>2</v>
      </c>
      <c r="O263">
        <v>4</v>
      </c>
      <c r="P263">
        <v>1</v>
      </c>
      <c r="Q263">
        <v>2</v>
      </c>
      <c r="R263">
        <v>1</v>
      </c>
      <c r="S263" t="s">
        <v>85</v>
      </c>
      <c r="T263" t="s">
        <v>56</v>
      </c>
      <c r="U263" t="s">
        <v>37</v>
      </c>
      <c r="V263">
        <v>35</v>
      </c>
      <c r="W263" t="s">
        <v>38</v>
      </c>
      <c r="X263" t="s">
        <v>240</v>
      </c>
      <c r="Y263" t="s">
        <v>58</v>
      </c>
    </row>
    <row r="264" spans="1:25" x14ac:dyDescent="0.45">
      <c r="A264" t="s">
        <v>847</v>
      </c>
      <c r="B264" t="s">
        <v>25</v>
      </c>
      <c r="C264" s="3" t="s">
        <v>26</v>
      </c>
      <c r="D264" s="3">
        <f t="shared" si="8"/>
        <v>44840</v>
      </c>
      <c r="E264" t="s">
        <v>845</v>
      </c>
      <c r="F264" s="4">
        <f t="shared" si="9"/>
        <v>0.61319444444444449</v>
      </c>
      <c r="G264" t="s">
        <v>81</v>
      </c>
      <c r="H264" t="s">
        <v>30</v>
      </c>
      <c r="I264" t="s">
        <v>43</v>
      </c>
      <c r="J264" t="s">
        <v>44</v>
      </c>
      <c r="K264" t="s">
        <v>33</v>
      </c>
      <c r="L264" t="s">
        <v>34</v>
      </c>
      <c r="M264">
        <v>7</v>
      </c>
      <c r="N264">
        <v>5</v>
      </c>
      <c r="O264">
        <v>9</v>
      </c>
      <c r="P264">
        <v>9</v>
      </c>
      <c r="Q264">
        <v>9</v>
      </c>
      <c r="R264">
        <v>8</v>
      </c>
      <c r="S264" t="s">
        <v>85</v>
      </c>
      <c r="T264" t="s">
        <v>36</v>
      </c>
      <c r="U264" t="s">
        <v>37</v>
      </c>
      <c r="V264">
        <v>29</v>
      </c>
      <c r="W264" t="s">
        <v>848</v>
      </c>
      <c r="X264" t="s">
        <v>240</v>
      </c>
      <c r="Y264" t="s">
        <v>48</v>
      </c>
    </row>
    <row r="265" spans="1:25" x14ac:dyDescent="0.45">
      <c r="A265" t="s">
        <v>849</v>
      </c>
      <c r="B265" t="s">
        <v>25</v>
      </c>
      <c r="C265" s="3" t="s">
        <v>26</v>
      </c>
      <c r="D265" s="3">
        <f t="shared" si="8"/>
        <v>44840</v>
      </c>
      <c r="E265" t="s">
        <v>850</v>
      </c>
      <c r="F265" s="4">
        <f t="shared" si="9"/>
        <v>0.61597222222222225</v>
      </c>
      <c r="G265" t="s">
        <v>239</v>
      </c>
      <c r="H265" t="s">
        <v>30</v>
      </c>
      <c r="I265" t="s">
        <v>43</v>
      </c>
      <c r="J265" t="s">
        <v>87</v>
      </c>
      <c r="K265" t="s">
        <v>103</v>
      </c>
      <c r="L265" t="s">
        <v>34</v>
      </c>
      <c r="M265">
        <v>9</v>
      </c>
      <c r="N265">
        <v>10</v>
      </c>
      <c r="O265">
        <v>8</v>
      </c>
      <c r="P265">
        <v>8</v>
      </c>
      <c r="Q265">
        <v>7</v>
      </c>
      <c r="R265">
        <v>7</v>
      </c>
      <c r="S265" t="s">
        <v>85</v>
      </c>
      <c r="T265" t="s">
        <v>851</v>
      </c>
      <c r="U265" t="s">
        <v>65</v>
      </c>
      <c r="V265">
        <v>23</v>
      </c>
      <c r="W265" t="s">
        <v>38</v>
      </c>
      <c r="X265" t="s">
        <v>237</v>
      </c>
      <c r="Y265" t="s">
        <v>48</v>
      </c>
    </row>
    <row r="266" spans="1:25" x14ac:dyDescent="0.45">
      <c r="A266" t="s">
        <v>852</v>
      </c>
      <c r="B266" t="s">
        <v>25</v>
      </c>
      <c r="C266" s="3" t="s">
        <v>26</v>
      </c>
      <c r="D266" s="3">
        <f t="shared" si="8"/>
        <v>44840</v>
      </c>
      <c r="E266" t="s">
        <v>853</v>
      </c>
      <c r="F266" s="4">
        <f t="shared" si="9"/>
        <v>0.6166666666666667</v>
      </c>
      <c r="G266" t="s">
        <v>854</v>
      </c>
      <c r="H266" t="s">
        <v>855</v>
      </c>
      <c r="I266" t="s">
        <v>43</v>
      </c>
      <c r="J266" t="s">
        <v>44</v>
      </c>
      <c r="K266" t="s">
        <v>45</v>
      </c>
      <c r="L266" t="s">
        <v>34</v>
      </c>
      <c r="M266">
        <v>3</v>
      </c>
      <c r="N266">
        <v>3</v>
      </c>
      <c r="O266">
        <v>3</v>
      </c>
      <c r="P266">
        <v>0</v>
      </c>
      <c r="Q266">
        <v>0</v>
      </c>
      <c r="R266">
        <v>1</v>
      </c>
      <c r="S266" t="s">
        <v>69</v>
      </c>
      <c r="T266" t="s">
        <v>56</v>
      </c>
      <c r="U266" t="s">
        <v>37</v>
      </c>
      <c r="V266">
        <v>25</v>
      </c>
      <c r="W266" t="s">
        <v>147</v>
      </c>
      <c r="X266" t="s">
        <v>237</v>
      </c>
      <c r="Y266" t="s">
        <v>48</v>
      </c>
    </row>
    <row r="267" spans="1:25" x14ac:dyDescent="0.45">
      <c r="A267" t="s">
        <v>856</v>
      </c>
      <c r="B267" t="s">
        <v>25</v>
      </c>
      <c r="C267" s="3" t="s">
        <v>26</v>
      </c>
      <c r="D267" s="3">
        <f t="shared" si="8"/>
        <v>44840</v>
      </c>
      <c r="E267" t="s">
        <v>857</v>
      </c>
      <c r="F267" s="4">
        <f t="shared" si="9"/>
        <v>0.61875000000000002</v>
      </c>
      <c r="G267" t="s">
        <v>336</v>
      </c>
      <c r="H267" t="s">
        <v>52</v>
      </c>
      <c r="I267" t="s">
        <v>31</v>
      </c>
      <c r="J267" t="s">
        <v>87</v>
      </c>
      <c r="K267" t="s">
        <v>858</v>
      </c>
      <c r="L267" t="s">
        <v>34</v>
      </c>
      <c r="M267">
        <v>8</v>
      </c>
      <c r="N267">
        <v>7</v>
      </c>
      <c r="O267">
        <v>10</v>
      </c>
      <c r="P267">
        <v>9</v>
      </c>
      <c r="Q267">
        <v>10</v>
      </c>
      <c r="R267">
        <v>10</v>
      </c>
      <c r="S267" t="s">
        <v>55</v>
      </c>
      <c r="T267" t="s">
        <v>70</v>
      </c>
      <c r="U267" t="s">
        <v>37</v>
      </c>
      <c r="V267">
        <v>27</v>
      </c>
      <c r="W267" t="s">
        <v>38</v>
      </c>
      <c r="X267" t="s">
        <v>240</v>
      </c>
      <c r="Y267" t="s">
        <v>39</v>
      </c>
    </row>
    <row r="268" spans="1:25" x14ac:dyDescent="0.45">
      <c r="A268" t="s">
        <v>859</v>
      </c>
      <c r="B268" t="s">
        <v>25</v>
      </c>
      <c r="C268" s="3" t="s">
        <v>26</v>
      </c>
      <c r="D268" s="3">
        <f t="shared" si="8"/>
        <v>44840</v>
      </c>
      <c r="E268" t="s">
        <v>860</v>
      </c>
      <c r="F268" s="4">
        <f t="shared" si="9"/>
        <v>0.62013888888888891</v>
      </c>
      <c r="G268" t="s">
        <v>731</v>
      </c>
      <c r="H268" t="s">
        <v>30</v>
      </c>
      <c r="I268" t="s">
        <v>43</v>
      </c>
      <c r="J268" t="s">
        <v>53</v>
      </c>
      <c r="K268" t="s">
        <v>103</v>
      </c>
      <c r="L268" t="s">
        <v>34</v>
      </c>
      <c r="M268">
        <v>3</v>
      </c>
      <c r="N268">
        <v>8</v>
      </c>
      <c r="O268">
        <v>7</v>
      </c>
      <c r="P268">
        <v>5</v>
      </c>
      <c r="Q268">
        <v>8</v>
      </c>
      <c r="R268">
        <v>7</v>
      </c>
      <c r="S268" t="s">
        <v>85</v>
      </c>
      <c r="T268" t="s">
        <v>70</v>
      </c>
      <c r="U268" t="s">
        <v>37</v>
      </c>
      <c r="V268">
        <v>22</v>
      </c>
      <c r="W268" t="s">
        <v>147</v>
      </c>
      <c r="X268" t="s">
        <v>237</v>
      </c>
      <c r="Y268" t="s">
        <v>200</v>
      </c>
    </row>
    <row r="269" spans="1:25" x14ac:dyDescent="0.45">
      <c r="A269" t="s">
        <v>861</v>
      </c>
      <c r="B269" t="s">
        <v>25</v>
      </c>
      <c r="C269" s="3" t="s">
        <v>26</v>
      </c>
      <c r="D269" s="3">
        <f t="shared" si="8"/>
        <v>44840</v>
      </c>
      <c r="E269" t="s">
        <v>862</v>
      </c>
      <c r="F269" s="4">
        <f t="shared" si="9"/>
        <v>0.62361111111111112</v>
      </c>
      <c r="G269" t="s">
        <v>371</v>
      </c>
      <c r="H269" t="s">
        <v>30</v>
      </c>
      <c r="I269" t="s">
        <v>31</v>
      </c>
      <c r="J269" t="s">
        <v>53</v>
      </c>
      <c r="K269" t="s">
        <v>863</v>
      </c>
      <c r="L269" t="s">
        <v>34</v>
      </c>
      <c r="M269">
        <v>6</v>
      </c>
      <c r="N269">
        <v>3</v>
      </c>
      <c r="O269">
        <v>5</v>
      </c>
      <c r="P269">
        <v>7</v>
      </c>
      <c r="Q269">
        <v>5</v>
      </c>
      <c r="R269">
        <v>7</v>
      </c>
      <c r="S269" t="s">
        <v>85</v>
      </c>
      <c r="T269" t="s">
        <v>56</v>
      </c>
      <c r="U269" t="s">
        <v>37</v>
      </c>
      <c r="V269">
        <v>22</v>
      </c>
      <c r="W269" t="s">
        <v>147</v>
      </c>
      <c r="X269" t="s">
        <v>237</v>
      </c>
      <c r="Y269" t="s">
        <v>48</v>
      </c>
    </row>
    <row r="270" spans="1:25" x14ac:dyDescent="0.45">
      <c r="A270" t="s">
        <v>864</v>
      </c>
      <c r="B270" t="s">
        <v>25</v>
      </c>
      <c r="C270" s="3" t="s">
        <v>26</v>
      </c>
      <c r="D270" s="3">
        <f t="shared" si="8"/>
        <v>44840</v>
      </c>
      <c r="E270" t="s">
        <v>865</v>
      </c>
      <c r="F270" s="4">
        <f t="shared" si="9"/>
        <v>0.62569444444444444</v>
      </c>
      <c r="G270" t="s">
        <v>333</v>
      </c>
      <c r="H270" t="s">
        <v>78</v>
      </c>
      <c r="I270" t="s">
        <v>43</v>
      </c>
      <c r="J270" t="s">
        <v>32</v>
      </c>
      <c r="K270" t="s">
        <v>78</v>
      </c>
      <c r="L270" t="s">
        <v>866</v>
      </c>
      <c r="M270">
        <v>7</v>
      </c>
      <c r="N270">
        <v>7</v>
      </c>
      <c r="O270">
        <v>4</v>
      </c>
      <c r="P270">
        <v>5</v>
      </c>
      <c r="Q270">
        <v>5</v>
      </c>
      <c r="R270">
        <v>4</v>
      </c>
      <c r="S270" t="s">
        <v>85</v>
      </c>
      <c r="T270" t="s">
        <v>70</v>
      </c>
      <c r="U270" t="s">
        <v>37</v>
      </c>
      <c r="V270">
        <v>43</v>
      </c>
      <c r="W270" t="s">
        <v>38</v>
      </c>
      <c r="X270" t="s">
        <v>240</v>
      </c>
      <c r="Y270" t="s">
        <v>48</v>
      </c>
    </row>
    <row r="271" spans="1:25" x14ac:dyDescent="0.45">
      <c r="A271" t="s">
        <v>867</v>
      </c>
      <c r="B271" t="s">
        <v>25</v>
      </c>
      <c r="C271" s="3" t="s">
        <v>26</v>
      </c>
      <c r="D271" s="3">
        <f t="shared" si="8"/>
        <v>44840</v>
      </c>
      <c r="E271" t="s">
        <v>868</v>
      </c>
      <c r="F271" s="4">
        <f t="shared" si="9"/>
        <v>0.62708333333333333</v>
      </c>
      <c r="G271" t="s">
        <v>869</v>
      </c>
      <c r="H271" t="s">
        <v>870</v>
      </c>
      <c r="I271" t="s">
        <v>31</v>
      </c>
      <c r="J271" t="s">
        <v>53</v>
      </c>
      <c r="K271" t="s">
        <v>103</v>
      </c>
      <c r="L271" t="s">
        <v>34</v>
      </c>
      <c r="M271">
        <v>3</v>
      </c>
      <c r="N271">
        <v>5</v>
      </c>
      <c r="O271">
        <v>8</v>
      </c>
      <c r="P271">
        <v>4</v>
      </c>
      <c r="Q271">
        <v>5</v>
      </c>
      <c r="R271">
        <v>5</v>
      </c>
      <c r="S271" t="s">
        <v>69</v>
      </c>
      <c r="T271" t="s">
        <v>70</v>
      </c>
      <c r="U271" t="s">
        <v>65</v>
      </c>
      <c r="V271">
        <v>32</v>
      </c>
      <c r="W271" t="s">
        <v>38</v>
      </c>
      <c r="X271" t="s">
        <v>237</v>
      </c>
      <c r="Y271" t="s">
        <v>48</v>
      </c>
    </row>
    <row r="272" spans="1:25" x14ac:dyDescent="0.45">
      <c r="A272" t="s">
        <v>871</v>
      </c>
      <c r="B272" t="s">
        <v>25</v>
      </c>
      <c r="C272" s="3" t="s">
        <v>26</v>
      </c>
      <c r="D272" s="3">
        <f t="shared" si="8"/>
        <v>44840</v>
      </c>
      <c r="E272" t="s">
        <v>872</v>
      </c>
      <c r="F272" s="4">
        <f t="shared" si="9"/>
        <v>0.63194444444444442</v>
      </c>
      <c r="G272" t="s">
        <v>119</v>
      </c>
      <c r="H272" t="s">
        <v>123</v>
      </c>
      <c r="I272" t="s">
        <v>31</v>
      </c>
      <c r="J272" t="s">
        <v>94</v>
      </c>
      <c r="K272" t="s">
        <v>33</v>
      </c>
      <c r="L272" t="s">
        <v>376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>
        <v>0</v>
      </c>
      <c r="S272" t="s">
        <v>69</v>
      </c>
      <c r="T272" t="s">
        <v>56</v>
      </c>
      <c r="U272" t="s">
        <v>65</v>
      </c>
      <c r="V272">
        <v>42</v>
      </c>
      <c r="W272" t="s">
        <v>38</v>
      </c>
      <c r="X272" t="s">
        <v>240</v>
      </c>
      <c r="Y272" t="s">
        <v>48</v>
      </c>
    </row>
    <row r="273" spans="1:25" x14ac:dyDescent="0.45">
      <c r="A273" t="s">
        <v>873</v>
      </c>
      <c r="B273" t="s">
        <v>25</v>
      </c>
      <c r="C273" s="3" t="s">
        <v>26</v>
      </c>
      <c r="D273" s="3">
        <f t="shared" si="8"/>
        <v>44840</v>
      </c>
      <c r="E273" t="s">
        <v>874</v>
      </c>
      <c r="F273" s="4">
        <f t="shared" si="9"/>
        <v>0.63263888888888886</v>
      </c>
      <c r="G273" t="s">
        <v>682</v>
      </c>
      <c r="H273" t="s">
        <v>875</v>
      </c>
      <c r="I273" t="s">
        <v>43</v>
      </c>
      <c r="J273" t="s">
        <v>94</v>
      </c>
      <c r="K273" t="s">
        <v>876</v>
      </c>
      <c r="L273" t="s">
        <v>34</v>
      </c>
      <c r="M273">
        <v>4</v>
      </c>
      <c r="N273">
        <v>6</v>
      </c>
      <c r="O273">
        <v>2</v>
      </c>
      <c r="P273">
        <v>3</v>
      </c>
      <c r="Q273">
        <v>3</v>
      </c>
      <c r="R273">
        <v>2</v>
      </c>
      <c r="S273" t="s">
        <v>35</v>
      </c>
      <c r="T273" t="s">
        <v>36</v>
      </c>
      <c r="U273" t="s">
        <v>37</v>
      </c>
      <c r="V273">
        <v>31</v>
      </c>
      <c r="W273" t="s">
        <v>38</v>
      </c>
      <c r="X273" t="s">
        <v>237</v>
      </c>
      <c r="Y273" t="s">
        <v>91</v>
      </c>
    </row>
    <row r="274" spans="1:25" x14ac:dyDescent="0.45">
      <c r="A274" t="s">
        <v>877</v>
      </c>
      <c r="B274" t="s">
        <v>25</v>
      </c>
      <c r="C274" s="3" t="s">
        <v>26</v>
      </c>
      <c r="D274" s="3">
        <f t="shared" si="8"/>
        <v>44840</v>
      </c>
      <c r="E274" t="s">
        <v>878</v>
      </c>
      <c r="F274" s="4">
        <f t="shared" si="9"/>
        <v>0.63472222222222219</v>
      </c>
      <c r="G274" t="s">
        <v>154</v>
      </c>
      <c r="H274" t="s">
        <v>52</v>
      </c>
      <c r="I274" t="s">
        <v>43</v>
      </c>
      <c r="J274" t="s">
        <v>53</v>
      </c>
      <c r="K274" t="s">
        <v>879</v>
      </c>
      <c r="L274" t="s">
        <v>34</v>
      </c>
      <c r="M274">
        <v>0</v>
      </c>
      <c r="N274">
        <v>10</v>
      </c>
      <c r="O274">
        <v>10</v>
      </c>
      <c r="P274">
        <v>5</v>
      </c>
      <c r="Q274">
        <v>0</v>
      </c>
      <c r="R274">
        <v>3</v>
      </c>
      <c r="S274" t="s">
        <v>85</v>
      </c>
      <c r="T274" t="s">
        <v>70</v>
      </c>
      <c r="U274" t="s">
        <v>37</v>
      </c>
      <c r="V274">
        <v>25</v>
      </c>
      <c r="W274" t="s">
        <v>109</v>
      </c>
      <c r="X274" t="s">
        <v>237</v>
      </c>
      <c r="Y274" t="s">
        <v>39</v>
      </c>
    </row>
    <row r="275" spans="1:25" x14ac:dyDescent="0.45">
      <c r="A275" t="s">
        <v>880</v>
      </c>
      <c r="B275" t="s">
        <v>25</v>
      </c>
      <c r="C275" s="3" t="s">
        <v>26</v>
      </c>
      <c r="D275" s="3">
        <f t="shared" si="8"/>
        <v>44840</v>
      </c>
      <c r="E275" t="s">
        <v>878</v>
      </c>
      <c r="F275" s="4">
        <f t="shared" si="9"/>
        <v>0.63472222222222219</v>
      </c>
      <c r="G275" t="s">
        <v>881</v>
      </c>
      <c r="H275" t="s">
        <v>30</v>
      </c>
      <c r="I275" t="s">
        <v>43</v>
      </c>
      <c r="J275" t="s">
        <v>44</v>
      </c>
      <c r="K275" t="s">
        <v>794</v>
      </c>
      <c r="L275" t="s">
        <v>84</v>
      </c>
      <c r="M275">
        <v>3</v>
      </c>
      <c r="N275">
        <v>5</v>
      </c>
      <c r="O275">
        <v>5</v>
      </c>
      <c r="P275">
        <v>5</v>
      </c>
      <c r="Q275">
        <v>3</v>
      </c>
      <c r="R275">
        <v>2</v>
      </c>
      <c r="S275" t="s">
        <v>85</v>
      </c>
      <c r="T275" t="s">
        <v>70</v>
      </c>
      <c r="U275" t="s">
        <v>65</v>
      </c>
      <c r="V275">
        <v>25</v>
      </c>
      <c r="W275" t="s">
        <v>38</v>
      </c>
      <c r="X275" t="s">
        <v>240</v>
      </c>
      <c r="Y275" t="s">
        <v>48</v>
      </c>
    </row>
    <row r="276" spans="1:25" x14ac:dyDescent="0.45">
      <c r="A276" t="s">
        <v>882</v>
      </c>
      <c r="B276" t="s">
        <v>25</v>
      </c>
      <c r="C276" s="3" t="s">
        <v>26</v>
      </c>
      <c r="D276" s="3">
        <f t="shared" si="8"/>
        <v>44840</v>
      </c>
      <c r="E276" t="s">
        <v>878</v>
      </c>
      <c r="F276" s="4">
        <f t="shared" si="9"/>
        <v>0.63472222222222219</v>
      </c>
      <c r="G276" t="s">
        <v>89</v>
      </c>
      <c r="H276" t="s">
        <v>30</v>
      </c>
      <c r="I276" t="s">
        <v>31</v>
      </c>
      <c r="J276" t="s">
        <v>32</v>
      </c>
      <c r="K276" t="s">
        <v>129</v>
      </c>
      <c r="L276" t="s">
        <v>883</v>
      </c>
      <c r="M276">
        <v>9</v>
      </c>
      <c r="N276">
        <v>9</v>
      </c>
      <c r="O276">
        <v>9</v>
      </c>
      <c r="P276">
        <v>6</v>
      </c>
      <c r="Q276">
        <v>9</v>
      </c>
      <c r="R276">
        <v>8</v>
      </c>
      <c r="S276" t="s">
        <v>69</v>
      </c>
      <c r="T276" t="s">
        <v>56</v>
      </c>
      <c r="U276" t="s">
        <v>37</v>
      </c>
      <c r="V276">
        <v>31</v>
      </c>
      <c r="W276" t="s">
        <v>38</v>
      </c>
      <c r="X276" t="s">
        <v>240</v>
      </c>
      <c r="Y276" t="s">
        <v>48</v>
      </c>
    </row>
    <row r="277" spans="1:25" x14ac:dyDescent="0.45">
      <c r="A277" t="s">
        <v>884</v>
      </c>
      <c r="B277" t="s">
        <v>25</v>
      </c>
      <c r="C277" s="3" t="s">
        <v>26</v>
      </c>
      <c r="D277" s="3">
        <f t="shared" si="8"/>
        <v>44840</v>
      </c>
      <c r="E277" t="s">
        <v>885</v>
      </c>
      <c r="F277" s="4">
        <f t="shared" si="9"/>
        <v>0.64097222222222228</v>
      </c>
      <c r="G277" t="s">
        <v>131</v>
      </c>
      <c r="H277" t="s">
        <v>77</v>
      </c>
      <c r="I277" t="s">
        <v>31</v>
      </c>
      <c r="J277" t="s">
        <v>53</v>
      </c>
      <c r="K277" t="s">
        <v>108</v>
      </c>
      <c r="L277" t="s">
        <v>34</v>
      </c>
      <c r="M277">
        <v>3</v>
      </c>
      <c r="N277">
        <v>3</v>
      </c>
      <c r="O277">
        <v>1</v>
      </c>
      <c r="P277">
        <v>1</v>
      </c>
      <c r="Q277">
        <v>1</v>
      </c>
      <c r="R277">
        <v>6</v>
      </c>
      <c r="S277" t="s">
        <v>69</v>
      </c>
      <c r="T277" t="s">
        <v>70</v>
      </c>
      <c r="U277" t="s">
        <v>37</v>
      </c>
      <c r="V277">
        <v>36</v>
      </c>
      <c r="W277" t="s">
        <v>886</v>
      </c>
      <c r="X277" t="s">
        <v>240</v>
      </c>
      <c r="Y277" t="s">
        <v>39</v>
      </c>
    </row>
    <row r="278" spans="1:25" x14ac:dyDescent="0.45">
      <c r="A278" t="s">
        <v>887</v>
      </c>
      <c r="B278" t="s">
        <v>25</v>
      </c>
      <c r="C278" s="3" t="s">
        <v>26</v>
      </c>
      <c r="D278" s="3">
        <f t="shared" si="8"/>
        <v>44840</v>
      </c>
      <c r="E278" t="s">
        <v>888</v>
      </c>
      <c r="F278" s="4">
        <f t="shared" si="9"/>
        <v>0.64236111111111116</v>
      </c>
      <c r="G278" t="s">
        <v>470</v>
      </c>
      <c r="H278" t="s">
        <v>889</v>
      </c>
      <c r="I278" t="s">
        <v>43</v>
      </c>
      <c r="J278" t="s">
        <v>44</v>
      </c>
      <c r="K278" t="s">
        <v>33</v>
      </c>
      <c r="L278" t="s">
        <v>34</v>
      </c>
      <c r="M278">
        <v>6</v>
      </c>
      <c r="N278">
        <v>8</v>
      </c>
      <c r="O278">
        <v>8</v>
      </c>
      <c r="P278">
        <v>8</v>
      </c>
      <c r="Q278">
        <v>8</v>
      </c>
      <c r="R278">
        <v>10</v>
      </c>
      <c r="S278" t="s">
        <v>85</v>
      </c>
      <c r="T278" t="s">
        <v>56</v>
      </c>
      <c r="U278" t="s">
        <v>65</v>
      </c>
      <c r="V278">
        <v>35</v>
      </c>
      <c r="W278" t="s">
        <v>271</v>
      </c>
      <c r="X278" t="s">
        <v>240</v>
      </c>
      <c r="Y278" t="s">
        <v>39</v>
      </c>
    </row>
    <row r="279" spans="1:25" x14ac:dyDescent="0.45">
      <c r="A279" t="s">
        <v>890</v>
      </c>
      <c r="B279" t="s">
        <v>25</v>
      </c>
      <c r="C279" s="3" t="s">
        <v>26</v>
      </c>
      <c r="D279" s="3">
        <f t="shared" si="8"/>
        <v>44840</v>
      </c>
      <c r="E279" t="s">
        <v>891</v>
      </c>
      <c r="F279" s="4">
        <f t="shared" si="9"/>
        <v>0.64375000000000004</v>
      </c>
      <c r="G279" t="s">
        <v>682</v>
      </c>
      <c r="H279" t="s">
        <v>30</v>
      </c>
      <c r="I279" t="s">
        <v>31</v>
      </c>
      <c r="J279" t="s">
        <v>94</v>
      </c>
      <c r="K279" t="s">
        <v>892</v>
      </c>
      <c r="L279" t="s">
        <v>46</v>
      </c>
      <c r="M279">
        <v>6</v>
      </c>
      <c r="N279">
        <v>10</v>
      </c>
      <c r="O279">
        <v>10</v>
      </c>
      <c r="P279">
        <v>10</v>
      </c>
      <c r="Q279">
        <v>9</v>
      </c>
      <c r="R279">
        <v>8</v>
      </c>
      <c r="S279" t="s">
        <v>55</v>
      </c>
      <c r="T279" t="s">
        <v>36</v>
      </c>
      <c r="U279" t="s">
        <v>37</v>
      </c>
      <c r="V279">
        <v>28</v>
      </c>
      <c r="W279" t="s">
        <v>38</v>
      </c>
      <c r="X279" t="s">
        <v>237</v>
      </c>
      <c r="Y279" t="s">
        <v>39</v>
      </c>
    </row>
    <row r="280" spans="1:25" x14ac:dyDescent="0.45">
      <c r="A280" t="s">
        <v>893</v>
      </c>
      <c r="B280" t="s">
        <v>25</v>
      </c>
      <c r="C280" s="3" t="s">
        <v>26</v>
      </c>
      <c r="D280" s="3">
        <f t="shared" si="8"/>
        <v>44840</v>
      </c>
      <c r="E280" t="s">
        <v>894</v>
      </c>
      <c r="F280" s="4">
        <f t="shared" si="9"/>
        <v>0.64444444444444449</v>
      </c>
      <c r="G280" t="s">
        <v>406</v>
      </c>
      <c r="H280" t="s">
        <v>30</v>
      </c>
      <c r="I280" t="s">
        <v>43</v>
      </c>
      <c r="J280" t="s">
        <v>53</v>
      </c>
      <c r="K280" t="s">
        <v>895</v>
      </c>
      <c r="L280" t="s">
        <v>34</v>
      </c>
      <c r="M280">
        <v>8</v>
      </c>
      <c r="N280">
        <v>8</v>
      </c>
      <c r="O280">
        <v>9</v>
      </c>
      <c r="P280">
        <v>9</v>
      </c>
      <c r="Q280">
        <v>8</v>
      </c>
      <c r="R280">
        <v>7</v>
      </c>
      <c r="S280" t="s">
        <v>85</v>
      </c>
      <c r="T280" t="s">
        <v>70</v>
      </c>
      <c r="U280" t="s">
        <v>37</v>
      </c>
      <c r="V280">
        <v>27</v>
      </c>
      <c r="W280" t="s">
        <v>728</v>
      </c>
      <c r="X280" t="s">
        <v>237</v>
      </c>
      <c r="Y280" t="s">
        <v>91</v>
      </c>
    </row>
    <row r="281" spans="1:25" x14ac:dyDescent="0.45">
      <c r="A281" t="s">
        <v>896</v>
      </c>
      <c r="B281" t="s">
        <v>25</v>
      </c>
      <c r="C281" s="3" t="s">
        <v>26</v>
      </c>
      <c r="D281" s="3">
        <f t="shared" si="8"/>
        <v>44840</v>
      </c>
      <c r="E281" t="s">
        <v>897</v>
      </c>
      <c r="F281" s="4">
        <f t="shared" si="9"/>
        <v>0.64583333333333337</v>
      </c>
      <c r="G281" t="s">
        <v>131</v>
      </c>
      <c r="H281" t="s">
        <v>30</v>
      </c>
      <c r="I281" t="s">
        <v>31</v>
      </c>
      <c r="J281" t="s">
        <v>53</v>
      </c>
      <c r="K281" t="s">
        <v>898</v>
      </c>
      <c r="L281" t="s">
        <v>34</v>
      </c>
      <c r="M281">
        <v>7</v>
      </c>
      <c r="N281">
        <v>4</v>
      </c>
      <c r="O281">
        <v>7</v>
      </c>
      <c r="P281">
        <v>4</v>
      </c>
      <c r="Q281">
        <v>8</v>
      </c>
      <c r="R281">
        <v>10</v>
      </c>
      <c r="S281" t="s">
        <v>55</v>
      </c>
      <c r="T281" t="s">
        <v>56</v>
      </c>
      <c r="U281" t="s">
        <v>37</v>
      </c>
      <c r="V281">
        <v>25</v>
      </c>
      <c r="W281" t="s">
        <v>899</v>
      </c>
      <c r="X281" t="s">
        <v>237</v>
      </c>
      <c r="Y281" t="s">
        <v>91</v>
      </c>
    </row>
    <row r="282" spans="1:25" x14ac:dyDescent="0.45">
      <c r="A282" t="s">
        <v>900</v>
      </c>
      <c r="B282" t="s">
        <v>25</v>
      </c>
      <c r="C282" s="3" t="s">
        <v>26</v>
      </c>
      <c r="D282" s="3">
        <f t="shared" si="8"/>
        <v>44840</v>
      </c>
      <c r="E282" t="s">
        <v>901</v>
      </c>
      <c r="F282" s="4">
        <f t="shared" si="9"/>
        <v>0.65208333333333335</v>
      </c>
      <c r="G282" t="s">
        <v>234</v>
      </c>
      <c r="H282" t="s">
        <v>30</v>
      </c>
      <c r="I282" t="s">
        <v>43</v>
      </c>
      <c r="J282" t="s">
        <v>53</v>
      </c>
      <c r="K282" t="s">
        <v>858</v>
      </c>
      <c r="L282" t="s">
        <v>34</v>
      </c>
      <c r="M282">
        <v>6</v>
      </c>
      <c r="N282">
        <v>6</v>
      </c>
      <c r="O282">
        <v>10</v>
      </c>
      <c r="P282">
        <v>8</v>
      </c>
      <c r="Q282">
        <v>6</v>
      </c>
      <c r="R282">
        <v>8</v>
      </c>
      <c r="S282" t="s">
        <v>85</v>
      </c>
      <c r="T282" t="s">
        <v>70</v>
      </c>
      <c r="U282" t="s">
        <v>37</v>
      </c>
      <c r="V282">
        <v>25</v>
      </c>
      <c r="W282" t="s">
        <v>500</v>
      </c>
      <c r="X282" t="s">
        <v>237</v>
      </c>
      <c r="Y282" t="s">
        <v>39</v>
      </c>
    </row>
    <row r="283" spans="1:25" x14ac:dyDescent="0.45">
      <c r="A283" t="s">
        <v>902</v>
      </c>
      <c r="B283" t="s">
        <v>25</v>
      </c>
      <c r="C283" s="3" t="s">
        <v>26</v>
      </c>
      <c r="D283" s="3">
        <f t="shared" si="8"/>
        <v>44840</v>
      </c>
      <c r="E283" t="s">
        <v>903</v>
      </c>
      <c r="F283" s="4">
        <f t="shared" si="9"/>
        <v>0.65347222222222223</v>
      </c>
      <c r="G283" t="s">
        <v>392</v>
      </c>
      <c r="H283" t="s">
        <v>904</v>
      </c>
      <c r="I283" t="s">
        <v>43</v>
      </c>
      <c r="J283" t="s">
        <v>44</v>
      </c>
      <c r="K283" t="s">
        <v>905</v>
      </c>
      <c r="L283" t="s">
        <v>46</v>
      </c>
      <c r="M283">
        <v>5</v>
      </c>
      <c r="N283">
        <v>5</v>
      </c>
      <c r="O283">
        <v>5</v>
      </c>
      <c r="P283">
        <v>5</v>
      </c>
      <c r="Q283">
        <v>5</v>
      </c>
      <c r="R283">
        <v>5</v>
      </c>
      <c r="S283" t="s">
        <v>69</v>
      </c>
      <c r="T283" t="s">
        <v>56</v>
      </c>
      <c r="U283" t="s">
        <v>37</v>
      </c>
      <c r="V283">
        <v>22</v>
      </c>
      <c r="W283" t="s">
        <v>38</v>
      </c>
      <c r="X283" t="s">
        <v>240</v>
      </c>
      <c r="Y283" t="s">
        <v>39</v>
      </c>
    </row>
    <row r="284" spans="1:25" x14ac:dyDescent="0.45">
      <c r="A284" t="s">
        <v>906</v>
      </c>
      <c r="B284" t="s">
        <v>25</v>
      </c>
      <c r="C284" s="3" t="s">
        <v>26</v>
      </c>
      <c r="D284" s="3">
        <f t="shared" si="8"/>
        <v>44840</v>
      </c>
      <c r="E284" t="s">
        <v>907</v>
      </c>
      <c r="F284" s="4">
        <f t="shared" si="9"/>
        <v>0.66041666666666665</v>
      </c>
      <c r="G284" t="s">
        <v>908</v>
      </c>
      <c r="H284" t="s">
        <v>30</v>
      </c>
      <c r="I284" t="s">
        <v>31</v>
      </c>
      <c r="J284" t="s">
        <v>44</v>
      </c>
      <c r="K284" t="s">
        <v>33</v>
      </c>
      <c r="L284" t="s">
        <v>674</v>
      </c>
      <c r="M284">
        <v>7</v>
      </c>
      <c r="N284">
        <v>8</v>
      </c>
      <c r="O284">
        <v>8</v>
      </c>
      <c r="P284">
        <v>4</v>
      </c>
      <c r="Q284">
        <v>6</v>
      </c>
      <c r="R284">
        <v>8</v>
      </c>
      <c r="S284" t="s">
        <v>85</v>
      </c>
      <c r="T284" t="s">
        <v>114</v>
      </c>
      <c r="U284" t="s">
        <v>37</v>
      </c>
      <c r="V284">
        <v>38</v>
      </c>
      <c r="W284" t="s">
        <v>267</v>
      </c>
      <c r="X284" t="s">
        <v>227</v>
      </c>
      <c r="Y284" t="s">
        <v>39</v>
      </c>
    </row>
    <row r="285" spans="1:25" x14ac:dyDescent="0.45">
      <c r="A285" t="s">
        <v>909</v>
      </c>
      <c r="B285" t="s">
        <v>25</v>
      </c>
      <c r="C285" s="3" t="s">
        <v>26</v>
      </c>
      <c r="D285" s="3">
        <f t="shared" si="8"/>
        <v>44840</v>
      </c>
      <c r="E285" t="s">
        <v>910</v>
      </c>
      <c r="F285" s="4">
        <f t="shared" si="9"/>
        <v>0.66319444444444442</v>
      </c>
      <c r="G285" t="s">
        <v>141</v>
      </c>
      <c r="H285" t="s">
        <v>30</v>
      </c>
      <c r="I285" t="s">
        <v>31</v>
      </c>
      <c r="J285" t="s">
        <v>53</v>
      </c>
      <c r="K285" t="s">
        <v>108</v>
      </c>
      <c r="L285" t="s">
        <v>34</v>
      </c>
      <c r="M285">
        <v>0</v>
      </c>
      <c r="N285">
        <v>0</v>
      </c>
      <c r="O285">
        <v>5</v>
      </c>
      <c r="P285">
        <v>0</v>
      </c>
      <c r="Q285">
        <v>0</v>
      </c>
      <c r="R285">
        <v>0</v>
      </c>
      <c r="S285" t="s">
        <v>69</v>
      </c>
      <c r="T285" t="s">
        <v>114</v>
      </c>
      <c r="U285" t="s">
        <v>37</v>
      </c>
      <c r="V285">
        <v>27</v>
      </c>
      <c r="W285" t="s">
        <v>132</v>
      </c>
      <c r="X285" t="s">
        <v>237</v>
      </c>
      <c r="Y285" t="s">
        <v>58</v>
      </c>
    </row>
    <row r="286" spans="1:25" x14ac:dyDescent="0.45">
      <c r="A286" t="s">
        <v>911</v>
      </c>
      <c r="B286" t="s">
        <v>25</v>
      </c>
      <c r="C286" s="3" t="s">
        <v>26</v>
      </c>
      <c r="D286" s="3">
        <f t="shared" si="8"/>
        <v>44840</v>
      </c>
      <c r="E286" t="s">
        <v>912</v>
      </c>
      <c r="F286" s="4">
        <f t="shared" si="9"/>
        <v>0.6645833333333333</v>
      </c>
      <c r="G286" t="s">
        <v>913</v>
      </c>
      <c r="H286" t="s">
        <v>30</v>
      </c>
      <c r="I286" t="s">
        <v>31</v>
      </c>
      <c r="J286" t="s">
        <v>87</v>
      </c>
      <c r="K286" t="s">
        <v>393</v>
      </c>
      <c r="L286" t="s">
        <v>914</v>
      </c>
      <c r="M286">
        <v>4</v>
      </c>
      <c r="N286">
        <v>4</v>
      </c>
      <c r="O286">
        <v>2</v>
      </c>
      <c r="P286">
        <v>2</v>
      </c>
      <c r="Q286">
        <v>2</v>
      </c>
      <c r="R286">
        <v>2</v>
      </c>
      <c r="S286" t="s">
        <v>55</v>
      </c>
      <c r="T286" t="s">
        <v>36</v>
      </c>
      <c r="U286" t="s">
        <v>65</v>
      </c>
      <c r="V286">
        <v>34</v>
      </c>
      <c r="W286" t="s">
        <v>47</v>
      </c>
      <c r="X286" t="s">
        <v>237</v>
      </c>
      <c r="Y286" t="s">
        <v>58</v>
      </c>
    </row>
    <row r="287" spans="1:25" x14ac:dyDescent="0.45">
      <c r="A287" t="s">
        <v>915</v>
      </c>
      <c r="B287" t="s">
        <v>25</v>
      </c>
      <c r="C287" s="3" t="s">
        <v>26</v>
      </c>
      <c r="D287" s="3">
        <f t="shared" si="8"/>
        <v>44840</v>
      </c>
      <c r="E287" t="s">
        <v>916</v>
      </c>
      <c r="F287" s="4">
        <f t="shared" si="9"/>
        <v>0.66874999999999996</v>
      </c>
      <c r="G287" t="s">
        <v>375</v>
      </c>
      <c r="H287" t="s">
        <v>30</v>
      </c>
      <c r="I287" t="s">
        <v>31</v>
      </c>
      <c r="J287" t="s">
        <v>94</v>
      </c>
      <c r="K287" t="s">
        <v>917</v>
      </c>
      <c r="L287" t="s">
        <v>34</v>
      </c>
      <c r="M287">
        <v>9</v>
      </c>
      <c r="N287">
        <v>10</v>
      </c>
      <c r="O287">
        <v>10</v>
      </c>
      <c r="P287">
        <v>9</v>
      </c>
      <c r="Q287">
        <v>8</v>
      </c>
      <c r="R287">
        <v>10</v>
      </c>
      <c r="S287" t="s">
        <v>69</v>
      </c>
      <c r="T287" t="s">
        <v>70</v>
      </c>
      <c r="U287" t="s">
        <v>65</v>
      </c>
      <c r="V287">
        <v>31</v>
      </c>
      <c r="W287" t="s">
        <v>38</v>
      </c>
      <c r="X287" t="s">
        <v>237</v>
      </c>
      <c r="Y287" t="s">
        <v>39</v>
      </c>
    </row>
    <row r="288" spans="1:25" x14ac:dyDescent="0.45">
      <c r="A288" t="s">
        <v>918</v>
      </c>
      <c r="B288" t="s">
        <v>25</v>
      </c>
      <c r="C288" s="3" t="s">
        <v>26</v>
      </c>
      <c r="D288" s="3">
        <f t="shared" si="8"/>
        <v>44840</v>
      </c>
      <c r="E288" t="s">
        <v>919</v>
      </c>
      <c r="F288" s="4">
        <f t="shared" si="9"/>
        <v>0.67291666666666672</v>
      </c>
      <c r="G288" t="s">
        <v>920</v>
      </c>
      <c r="H288" t="s">
        <v>30</v>
      </c>
      <c r="I288" t="s">
        <v>31</v>
      </c>
      <c r="J288" t="s">
        <v>44</v>
      </c>
      <c r="K288" t="s">
        <v>103</v>
      </c>
      <c r="L288" t="s">
        <v>34</v>
      </c>
      <c r="M288">
        <v>4</v>
      </c>
      <c r="N288">
        <v>9</v>
      </c>
      <c r="O288">
        <v>8</v>
      </c>
      <c r="P288">
        <v>8</v>
      </c>
      <c r="Q288">
        <v>6</v>
      </c>
      <c r="R288">
        <v>10</v>
      </c>
      <c r="S288" t="s">
        <v>85</v>
      </c>
      <c r="T288" t="s">
        <v>70</v>
      </c>
      <c r="U288" t="s">
        <v>65</v>
      </c>
      <c r="V288">
        <v>33</v>
      </c>
      <c r="W288" t="s">
        <v>47</v>
      </c>
      <c r="X288" t="s">
        <v>240</v>
      </c>
      <c r="Y288" t="s">
        <v>58</v>
      </c>
    </row>
    <row r="289" spans="1:25" x14ac:dyDescent="0.45">
      <c r="A289" t="s">
        <v>921</v>
      </c>
      <c r="B289" t="s">
        <v>25</v>
      </c>
      <c r="C289" s="3" t="s">
        <v>26</v>
      </c>
      <c r="D289" s="3">
        <f t="shared" si="8"/>
        <v>44840</v>
      </c>
      <c r="E289" t="s">
        <v>922</v>
      </c>
      <c r="F289" s="4">
        <f t="shared" si="9"/>
        <v>0.68194444444444446</v>
      </c>
      <c r="G289" t="s">
        <v>700</v>
      </c>
      <c r="H289" t="s">
        <v>123</v>
      </c>
      <c r="I289" t="s">
        <v>31</v>
      </c>
      <c r="J289" t="s">
        <v>53</v>
      </c>
      <c r="K289" t="s">
        <v>103</v>
      </c>
      <c r="L289" t="s">
        <v>34</v>
      </c>
      <c r="M289">
        <v>2</v>
      </c>
      <c r="N289">
        <v>5</v>
      </c>
      <c r="O289">
        <v>5</v>
      </c>
      <c r="P289">
        <v>5</v>
      </c>
      <c r="Q289">
        <v>5</v>
      </c>
      <c r="R289">
        <v>5</v>
      </c>
      <c r="S289" t="s">
        <v>35</v>
      </c>
      <c r="T289" t="s">
        <v>36</v>
      </c>
      <c r="U289" t="s">
        <v>37</v>
      </c>
      <c r="V289">
        <v>23</v>
      </c>
      <c r="W289" t="s">
        <v>38</v>
      </c>
      <c r="X289" t="s">
        <v>237</v>
      </c>
      <c r="Y289" t="s">
        <v>48</v>
      </c>
    </row>
    <row r="290" spans="1:25" x14ac:dyDescent="0.45">
      <c r="A290" t="s">
        <v>923</v>
      </c>
      <c r="B290" t="s">
        <v>25</v>
      </c>
      <c r="C290" s="3" t="s">
        <v>26</v>
      </c>
      <c r="D290" s="3">
        <f t="shared" si="8"/>
        <v>44840</v>
      </c>
      <c r="E290" t="s">
        <v>924</v>
      </c>
      <c r="F290" s="4">
        <f t="shared" si="9"/>
        <v>0.68472222222222223</v>
      </c>
      <c r="G290" t="s">
        <v>467</v>
      </c>
      <c r="H290" t="s">
        <v>30</v>
      </c>
      <c r="I290" t="s">
        <v>31</v>
      </c>
      <c r="J290" t="s">
        <v>44</v>
      </c>
      <c r="K290" t="s">
        <v>33</v>
      </c>
      <c r="L290" t="s">
        <v>925</v>
      </c>
      <c r="M290">
        <v>3</v>
      </c>
      <c r="N290">
        <v>10</v>
      </c>
      <c r="O290">
        <v>9</v>
      </c>
      <c r="P290">
        <v>10</v>
      </c>
      <c r="Q290">
        <v>5</v>
      </c>
      <c r="R290">
        <v>0</v>
      </c>
      <c r="S290" t="s">
        <v>85</v>
      </c>
      <c r="T290" t="s">
        <v>70</v>
      </c>
      <c r="U290" t="s">
        <v>65</v>
      </c>
      <c r="V290">
        <v>25</v>
      </c>
      <c r="W290" t="s">
        <v>38</v>
      </c>
      <c r="X290" t="s">
        <v>237</v>
      </c>
      <c r="Y290" t="s">
        <v>48</v>
      </c>
    </row>
    <row r="291" spans="1:25" x14ac:dyDescent="0.45">
      <c r="A291" t="s">
        <v>926</v>
      </c>
      <c r="B291" t="s">
        <v>25</v>
      </c>
      <c r="C291" s="3" t="s">
        <v>26</v>
      </c>
      <c r="D291" s="3">
        <f t="shared" si="8"/>
        <v>44840</v>
      </c>
      <c r="E291" t="s">
        <v>927</v>
      </c>
      <c r="F291" s="4">
        <f t="shared" si="9"/>
        <v>0.6875</v>
      </c>
      <c r="G291" t="s">
        <v>731</v>
      </c>
      <c r="H291" t="s">
        <v>30</v>
      </c>
      <c r="I291" t="s">
        <v>31</v>
      </c>
      <c r="J291" t="s">
        <v>53</v>
      </c>
      <c r="K291" t="s">
        <v>103</v>
      </c>
      <c r="L291" t="s">
        <v>34</v>
      </c>
      <c r="M291">
        <v>4</v>
      </c>
      <c r="N291">
        <v>4</v>
      </c>
      <c r="O291">
        <v>4</v>
      </c>
      <c r="P291">
        <v>5</v>
      </c>
      <c r="Q291">
        <v>2</v>
      </c>
      <c r="R291">
        <v>1</v>
      </c>
      <c r="S291" t="s">
        <v>69</v>
      </c>
      <c r="T291" t="s">
        <v>70</v>
      </c>
      <c r="U291" t="s">
        <v>37</v>
      </c>
      <c r="V291">
        <v>29</v>
      </c>
      <c r="W291" t="s">
        <v>928</v>
      </c>
      <c r="X291" t="s">
        <v>240</v>
      </c>
      <c r="Y291" t="s">
        <v>39</v>
      </c>
    </row>
    <row r="292" spans="1:25" x14ac:dyDescent="0.45">
      <c r="A292" t="s">
        <v>929</v>
      </c>
      <c r="B292" t="s">
        <v>25</v>
      </c>
      <c r="C292" s="3" t="s">
        <v>26</v>
      </c>
      <c r="D292" s="3">
        <f t="shared" si="8"/>
        <v>44840</v>
      </c>
      <c r="E292" t="s">
        <v>930</v>
      </c>
      <c r="F292" s="4">
        <f t="shared" si="9"/>
        <v>0.68958333333333333</v>
      </c>
      <c r="G292" t="s">
        <v>931</v>
      </c>
      <c r="H292" t="s">
        <v>625</v>
      </c>
      <c r="I292" t="s">
        <v>31</v>
      </c>
      <c r="J292" t="s">
        <v>44</v>
      </c>
      <c r="K292" t="s">
        <v>33</v>
      </c>
      <c r="L292" t="s">
        <v>46</v>
      </c>
      <c r="M292">
        <v>5</v>
      </c>
      <c r="N292">
        <v>7</v>
      </c>
      <c r="O292">
        <v>9</v>
      </c>
      <c r="P292">
        <v>8</v>
      </c>
      <c r="Q292">
        <v>8</v>
      </c>
      <c r="R292">
        <v>8</v>
      </c>
      <c r="S292" t="s">
        <v>85</v>
      </c>
      <c r="T292" t="s">
        <v>70</v>
      </c>
      <c r="U292" t="s">
        <v>65</v>
      </c>
      <c r="V292">
        <v>29</v>
      </c>
      <c r="W292" t="s">
        <v>38</v>
      </c>
      <c r="X292" t="s">
        <v>240</v>
      </c>
      <c r="Y292" t="s">
        <v>58</v>
      </c>
    </row>
    <row r="293" spans="1:25" x14ac:dyDescent="0.45">
      <c r="A293" t="s">
        <v>932</v>
      </c>
      <c r="B293" t="s">
        <v>25</v>
      </c>
      <c r="C293" s="3" t="s">
        <v>26</v>
      </c>
      <c r="D293" s="3">
        <f t="shared" si="8"/>
        <v>44840</v>
      </c>
      <c r="E293" t="s">
        <v>933</v>
      </c>
      <c r="F293" s="4">
        <f t="shared" si="9"/>
        <v>0.69166666666666665</v>
      </c>
      <c r="G293" t="s">
        <v>375</v>
      </c>
      <c r="H293" t="s">
        <v>30</v>
      </c>
      <c r="I293" t="s">
        <v>31</v>
      </c>
      <c r="J293" t="s">
        <v>53</v>
      </c>
      <c r="K293" t="s">
        <v>103</v>
      </c>
      <c r="L293" t="s">
        <v>46</v>
      </c>
      <c r="M293">
        <v>3</v>
      </c>
      <c r="N293">
        <v>4</v>
      </c>
      <c r="O293">
        <v>4</v>
      </c>
      <c r="P293">
        <v>4</v>
      </c>
      <c r="Q293">
        <v>4</v>
      </c>
      <c r="R293">
        <v>2</v>
      </c>
      <c r="S293" t="s">
        <v>55</v>
      </c>
      <c r="T293" t="s">
        <v>70</v>
      </c>
      <c r="U293" t="s">
        <v>37</v>
      </c>
      <c r="V293">
        <v>31</v>
      </c>
      <c r="W293" t="s">
        <v>147</v>
      </c>
      <c r="X293" t="s">
        <v>240</v>
      </c>
      <c r="Y293" t="s">
        <v>48</v>
      </c>
    </row>
    <row r="294" spans="1:25" x14ac:dyDescent="0.45">
      <c r="A294" t="s">
        <v>934</v>
      </c>
      <c r="B294" t="s">
        <v>25</v>
      </c>
      <c r="C294" s="3" t="s">
        <v>26</v>
      </c>
      <c r="D294" s="3">
        <f t="shared" si="8"/>
        <v>44840</v>
      </c>
      <c r="E294" t="s">
        <v>935</v>
      </c>
      <c r="F294" s="4">
        <f t="shared" si="9"/>
        <v>0.69305555555555554</v>
      </c>
      <c r="G294" t="s">
        <v>186</v>
      </c>
      <c r="H294" t="s">
        <v>123</v>
      </c>
      <c r="I294" t="s">
        <v>43</v>
      </c>
      <c r="J294" t="s">
        <v>53</v>
      </c>
      <c r="K294" t="s">
        <v>712</v>
      </c>
      <c r="L294" t="s">
        <v>46</v>
      </c>
      <c r="M294">
        <v>0</v>
      </c>
      <c r="N294">
        <v>5</v>
      </c>
      <c r="O294">
        <v>0</v>
      </c>
      <c r="P294">
        <v>0</v>
      </c>
      <c r="Q294">
        <v>0</v>
      </c>
      <c r="R294">
        <v>0</v>
      </c>
      <c r="S294" t="s">
        <v>35</v>
      </c>
      <c r="T294" t="s">
        <v>36</v>
      </c>
      <c r="U294" t="s">
        <v>37</v>
      </c>
      <c r="V294">
        <v>34</v>
      </c>
      <c r="W294" t="s">
        <v>936</v>
      </c>
      <c r="X294" t="s">
        <v>227</v>
      </c>
      <c r="Y294" t="s">
        <v>58</v>
      </c>
    </row>
    <row r="295" spans="1:25" x14ac:dyDescent="0.45">
      <c r="A295" t="s">
        <v>937</v>
      </c>
      <c r="B295" t="s">
        <v>25</v>
      </c>
      <c r="C295" s="3" t="s">
        <v>26</v>
      </c>
      <c r="D295" s="3">
        <f t="shared" si="8"/>
        <v>44840</v>
      </c>
      <c r="E295" t="s">
        <v>938</v>
      </c>
      <c r="F295" s="4">
        <f t="shared" si="9"/>
        <v>0.69444444444444442</v>
      </c>
      <c r="G295" t="s">
        <v>265</v>
      </c>
      <c r="H295" t="s">
        <v>30</v>
      </c>
      <c r="I295" t="s">
        <v>31</v>
      </c>
      <c r="J295" t="s">
        <v>53</v>
      </c>
      <c r="K295" t="s">
        <v>103</v>
      </c>
      <c r="L295" t="s">
        <v>34</v>
      </c>
      <c r="M295">
        <v>3</v>
      </c>
      <c r="N295">
        <v>2</v>
      </c>
      <c r="O295">
        <v>4</v>
      </c>
      <c r="P295">
        <v>3</v>
      </c>
      <c r="Q295">
        <v>7</v>
      </c>
      <c r="R295">
        <v>8</v>
      </c>
      <c r="S295" t="s">
        <v>55</v>
      </c>
      <c r="T295" t="s">
        <v>56</v>
      </c>
      <c r="U295" t="s">
        <v>37</v>
      </c>
      <c r="V295">
        <v>26</v>
      </c>
      <c r="W295" t="s">
        <v>939</v>
      </c>
      <c r="X295" t="s">
        <v>237</v>
      </c>
      <c r="Y295" t="s">
        <v>940</v>
      </c>
    </row>
    <row r="296" spans="1:25" x14ac:dyDescent="0.45">
      <c r="A296" t="s">
        <v>941</v>
      </c>
      <c r="B296" t="s">
        <v>25</v>
      </c>
      <c r="C296" s="3" t="s">
        <v>26</v>
      </c>
      <c r="D296" s="3">
        <f t="shared" si="8"/>
        <v>44840</v>
      </c>
      <c r="E296" t="s">
        <v>942</v>
      </c>
      <c r="F296" s="4">
        <f t="shared" si="9"/>
        <v>0.69722222222222219</v>
      </c>
      <c r="G296" t="s">
        <v>157</v>
      </c>
      <c r="H296" t="s">
        <v>943</v>
      </c>
      <c r="I296" t="s">
        <v>43</v>
      </c>
      <c r="J296" t="s">
        <v>87</v>
      </c>
      <c r="K296" t="s">
        <v>33</v>
      </c>
      <c r="L296" t="s">
        <v>34</v>
      </c>
      <c r="M296">
        <v>4</v>
      </c>
      <c r="N296">
        <v>6</v>
      </c>
      <c r="O296">
        <v>5</v>
      </c>
      <c r="P296">
        <v>6</v>
      </c>
      <c r="Q296">
        <v>6</v>
      </c>
      <c r="R296">
        <v>4</v>
      </c>
      <c r="S296" t="s">
        <v>85</v>
      </c>
      <c r="T296" t="s">
        <v>36</v>
      </c>
      <c r="U296" t="s">
        <v>65</v>
      </c>
      <c r="V296">
        <v>26</v>
      </c>
      <c r="W296" t="s">
        <v>38</v>
      </c>
      <c r="X296" t="s">
        <v>237</v>
      </c>
      <c r="Y296" t="s">
        <v>39</v>
      </c>
    </row>
    <row r="297" spans="1:25" x14ac:dyDescent="0.45">
      <c r="A297" t="s">
        <v>944</v>
      </c>
      <c r="B297" t="s">
        <v>25</v>
      </c>
      <c r="C297" s="3" t="s">
        <v>26</v>
      </c>
      <c r="D297" s="3">
        <f t="shared" si="8"/>
        <v>44840</v>
      </c>
      <c r="E297" t="s">
        <v>945</v>
      </c>
      <c r="F297" s="4">
        <f t="shared" si="9"/>
        <v>0.7006944444444444</v>
      </c>
      <c r="G297" t="s">
        <v>913</v>
      </c>
      <c r="H297" t="s">
        <v>946</v>
      </c>
      <c r="I297" t="s">
        <v>31</v>
      </c>
      <c r="J297" t="s">
        <v>44</v>
      </c>
      <c r="K297" t="s">
        <v>947</v>
      </c>
      <c r="L297" t="s">
        <v>533</v>
      </c>
      <c r="M297">
        <v>3</v>
      </c>
      <c r="N297">
        <v>6</v>
      </c>
      <c r="O297">
        <v>9</v>
      </c>
      <c r="P297">
        <v>6</v>
      </c>
      <c r="Q297">
        <v>5</v>
      </c>
      <c r="R297">
        <v>10</v>
      </c>
      <c r="S297" t="s">
        <v>69</v>
      </c>
      <c r="T297" t="s">
        <v>948</v>
      </c>
      <c r="U297" t="s">
        <v>37</v>
      </c>
      <c r="V297">
        <v>27</v>
      </c>
      <c r="W297" t="s">
        <v>38</v>
      </c>
      <c r="X297" t="s">
        <v>240</v>
      </c>
      <c r="Y297" t="s">
        <v>58</v>
      </c>
    </row>
    <row r="298" spans="1:25" x14ac:dyDescent="0.45">
      <c r="A298" t="s">
        <v>949</v>
      </c>
      <c r="B298" t="s">
        <v>25</v>
      </c>
      <c r="C298" s="3" t="s">
        <v>26</v>
      </c>
      <c r="D298" s="3">
        <f t="shared" si="8"/>
        <v>44840</v>
      </c>
      <c r="E298" t="s">
        <v>950</v>
      </c>
      <c r="F298" s="4">
        <f t="shared" si="9"/>
        <v>0.70277777777777772</v>
      </c>
      <c r="G298" t="s">
        <v>825</v>
      </c>
      <c r="H298" t="s">
        <v>30</v>
      </c>
      <c r="I298" t="s">
        <v>31</v>
      </c>
      <c r="J298" t="s">
        <v>94</v>
      </c>
      <c r="K298" t="s">
        <v>951</v>
      </c>
      <c r="L298" t="s">
        <v>34</v>
      </c>
      <c r="M298">
        <v>8</v>
      </c>
      <c r="N298">
        <v>5</v>
      </c>
      <c r="O298">
        <v>9</v>
      </c>
      <c r="P298">
        <v>6</v>
      </c>
      <c r="Q298">
        <v>6</v>
      </c>
      <c r="R298">
        <v>10</v>
      </c>
      <c r="S298" t="s">
        <v>85</v>
      </c>
      <c r="T298" t="s">
        <v>36</v>
      </c>
      <c r="U298" t="s">
        <v>37</v>
      </c>
      <c r="V298">
        <v>26</v>
      </c>
      <c r="W298" t="s">
        <v>38</v>
      </c>
      <c r="X298" t="s">
        <v>237</v>
      </c>
      <c r="Y298" t="s">
        <v>39</v>
      </c>
    </row>
    <row r="299" spans="1:25" x14ac:dyDescent="0.45">
      <c r="A299" t="s">
        <v>952</v>
      </c>
      <c r="B299" t="s">
        <v>25</v>
      </c>
      <c r="C299" s="3" t="s">
        <v>26</v>
      </c>
      <c r="D299" s="3">
        <f t="shared" si="8"/>
        <v>44840</v>
      </c>
      <c r="E299" t="s">
        <v>953</v>
      </c>
      <c r="F299" s="4">
        <f t="shared" si="9"/>
        <v>0.70347222222222228</v>
      </c>
      <c r="G299" t="s">
        <v>552</v>
      </c>
      <c r="H299" t="s">
        <v>123</v>
      </c>
      <c r="I299" t="s">
        <v>31</v>
      </c>
      <c r="J299" t="s">
        <v>53</v>
      </c>
      <c r="K299" t="s">
        <v>103</v>
      </c>
      <c r="L299" t="s">
        <v>34</v>
      </c>
      <c r="M299">
        <v>4</v>
      </c>
      <c r="N299">
        <v>5</v>
      </c>
      <c r="O299">
        <v>4</v>
      </c>
      <c r="P299">
        <v>4</v>
      </c>
      <c r="Q299">
        <v>3</v>
      </c>
      <c r="R299">
        <v>4</v>
      </c>
      <c r="S299" t="s">
        <v>35</v>
      </c>
      <c r="T299" t="s">
        <v>70</v>
      </c>
      <c r="U299" t="s">
        <v>65</v>
      </c>
      <c r="V299">
        <v>26</v>
      </c>
      <c r="W299" t="s">
        <v>38</v>
      </c>
      <c r="X299" t="s">
        <v>240</v>
      </c>
      <c r="Y299" t="s">
        <v>48</v>
      </c>
    </row>
    <row r="300" spans="1:25" x14ac:dyDescent="0.45">
      <c r="A300" t="s">
        <v>954</v>
      </c>
      <c r="B300" t="s">
        <v>25</v>
      </c>
      <c r="C300" s="3" t="s">
        <v>26</v>
      </c>
      <c r="D300" s="3">
        <f t="shared" si="8"/>
        <v>44840</v>
      </c>
      <c r="E300" t="s">
        <v>955</v>
      </c>
      <c r="F300" s="4">
        <f t="shared" si="9"/>
        <v>0.70902777777777781</v>
      </c>
      <c r="G300" t="s">
        <v>239</v>
      </c>
      <c r="H300" t="s">
        <v>30</v>
      </c>
      <c r="I300" t="s">
        <v>31</v>
      </c>
      <c r="J300" t="s">
        <v>44</v>
      </c>
      <c r="K300" t="s">
        <v>45</v>
      </c>
      <c r="L300" t="s">
        <v>46</v>
      </c>
      <c r="M300">
        <v>2</v>
      </c>
      <c r="N300">
        <v>5</v>
      </c>
      <c r="O300">
        <v>5</v>
      </c>
      <c r="P300">
        <v>5</v>
      </c>
      <c r="Q300">
        <v>4</v>
      </c>
      <c r="R300">
        <v>5</v>
      </c>
      <c r="S300" t="s">
        <v>55</v>
      </c>
      <c r="T300" t="s">
        <v>70</v>
      </c>
      <c r="U300" t="s">
        <v>37</v>
      </c>
      <c r="V300">
        <v>24</v>
      </c>
      <c r="W300" t="s">
        <v>38</v>
      </c>
      <c r="X300" t="s">
        <v>237</v>
      </c>
      <c r="Y300" t="s">
        <v>39</v>
      </c>
    </row>
    <row r="301" spans="1:25" x14ac:dyDescent="0.45">
      <c r="A301" t="s">
        <v>956</v>
      </c>
      <c r="B301" t="s">
        <v>25</v>
      </c>
      <c r="C301" s="3" t="s">
        <v>26</v>
      </c>
      <c r="D301" s="3">
        <f t="shared" si="8"/>
        <v>44840</v>
      </c>
      <c r="E301" t="s">
        <v>957</v>
      </c>
      <c r="F301" s="4">
        <f t="shared" si="9"/>
        <v>0.71250000000000002</v>
      </c>
      <c r="G301" t="s">
        <v>51</v>
      </c>
      <c r="H301" t="s">
        <v>30</v>
      </c>
      <c r="I301" t="s">
        <v>31</v>
      </c>
      <c r="J301" t="s">
        <v>87</v>
      </c>
      <c r="K301" t="s">
        <v>83</v>
      </c>
      <c r="L301" t="s">
        <v>34</v>
      </c>
      <c r="M301">
        <v>4</v>
      </c>
      <c r="N301">
        <v>6</v>
      </c>
      <c r="O301">
        <v>3</v>
      </c>
      <c r="P301">
        <v>4</v>
      </c>
      <c r="Q301">
        <v>4</v>
      </c>
      <c r="R301">
        <v>2</v>
      </c>
      <c r="S301" t="s">
        <v>55</v>
      </c>
      <c r="T301" t="s">
        <v>70</v>
      </c>
      <c r="U301" t="s">
        <v>65</v>
      </c>
      <c r="V301">
        <v>28</v>
      </c>
      <c r="W301" t="s">
        <v>958</v>
      </c>
      <c r="X301" t="s">
        <v>240</v>
      </c>
      <c r="Y301" t="s">
        <v>200</v>
      </c>
    </row>
    <row r="302" spans="1:25" x14ac:dyDescent="0.45">
      <c r="A302" t="s">
        <v>959</v>
      </c>
      <c r="B302" t="s">
        <v>25</v>
      </c>
      <c r="C302" s="3" t="s">
        <v>26</v>
      </c>
      <c r="D302" s="3">
        <f t="shared" si="8"/>
        <v>44840</v>
      </c>
      <c r="E302" t="s">
        <v>960</v>
      </c>
      <c r="F302" s="4">
        <f t="shared" si="9"/>
        <v>0.71458333333333335</v>
      </c>
      <c r="G302" t="s">
        <v>239</v>
      </c>
      <c r="H302" t="s">
        <v>30</v>
      </c>
      <c r="I302" t="s">
        <v>31</v>
      </c>
      <c r="J302" t="s">
        <v>32</v>
      </c>
      <c r="K302" t="s">
        <v>491</v>
      </c>
      <c r="L302" t="s">
        <v>46</v>
      </c>
      <c r="M302">
        <v>8</v>
      </c>
      <c r="N302">
        <v>8</v>
      </c>
      <c r="O302">
        <v>10</v>
      </c>
      <c r="P302">
        <v>9</v>
      </c>
      <c r="Q302">
        <v>7</v>
      </c>
      <c r="R302">
        <v>5</v>
      </c>
      <c r="S302" t="s">
        <v>55</v>
      </c>
      <c r="T302" t="s">
        <v>70</v>
      </c>
      <c r="U302" t="s">
        <v>37</v>
      </c>
      <c r="V302">
        <v>29</v>
      </c>
      <c r="W302" t="s">
        <v>38</v>
      </c>
      <c r="X302" t="s">
        <v>237</v>
      </c>
      <c r="Y302" t="s">
        <v>39</v>
      </c>
    </row>
    <row r="303" spans="1:25" x14ac:dyDescent="0.45">
      <c r="A303" t="s">
        <v>961</v>
      </c>
      <c r="B303" t="s">
        <v>25</v>
      </c>
      <c r="C303" s="3" t="s">
        <v>26</v>
      </c>
      <c r="D303" s="3">
        <f t="shared" si="8"/>
        <v>44840</v>
      </c>
      <c r="E303" t="s">
        <v>962</v>
      </c>
      <c r="F303" s="4">
        <f t="shared" si="9"/>
        <v>0.71736111111111112</v>
      </c>
      <c r="G303" t="s">
        <v>963</v>
      </c>
      <c r="H303" t="s">
        <v>30</v>
      </c>
      <c r="I303" t="s">
        <v>31</v>
      </c>
      <c r="J303" t="s">
        <v>94</v>
      </c>
      <c r="K303" t="s">
        <v>45</v>
      </c>
      <c r="L303" t="s">
        <v>34</v>
      </c>
      <c r="M303">
        <v>3</v>
      </c>
      <c r="N303">
        <v>2</v>
      </c>
      <c r="O303">
        <v>1</v>
      </c>
      <c r="P303">
        <v>1</v>
      </c>
      <c r="Q303">
        <v>0</v>
      </c>
      <c r="R303">
        <v>2</v>
      </c>
      <c r="S303" t="s">
        <v>35</v>
      </c>
      <c r="T303" t="s">
        <v>70</v>
      </c>
      <c r="U303" t="s">
        <v>65</v>
      </c>
      <c r="V303">
        <v>26</v>
      </c>
      <c r="W303" t="s">
        <v>38</v>
      </c>
      <c r="X303" t="s">
        <v>240</v>
      </c>
      <c r="Y303" t="s">
        <v>48</v>
      </c>
    </row>
    <row r="304" spans="1:25" x14ac:dyDescent="0.45">
      <c r="A304" t="s">
        <v>964</v>
      </c>
      <c r="B304" t="s">
        <v>25</v>
      </c>
      <c r="C304" s="3" t="s">
        <v>26</v>
      </c>
      <c r="D304" s="3">
        <f t="shared" si="8"/>
        <v>44840</v>
      </c>
      <c r="E304" t="s">
        <v>965</v>
      </c>
      <c r="F304" s="4">
        <f t="shared" si="9"/>
        <v>0.73611111111111116</v>
      </c>
      <c r="G304" t="s">
        <v>322</v>
      </c>
      <c r="H304" t="s">
        <v>30</v>
      </c>
      <c r="I304" t="s">
        <v>31</v>
      </c>
      <c r="J304" t="s">
        <v>44</v>
      </c>
      <c r="K304" t="s">
        <v>966</v>
      </c>
      <c r="L304" t="s">
        <v>34</v>
      </c>
      <c r="M304">
        <v>3</v>
      </c>
      <c r="N304">
        <v>5</v>
      </c>
      <c r="O304">
        <v>3</v>
      </c>
      <c r="P304">
        <v>3</v>
      </c>
      <c r="Q304">
        <v>1</v>
      </c>
      <c r="R304">
        <v>1</v>
      </c>
      <c r="S304" t="s">
        <v>85</v>
      </c>
      <c r="T304" t="s">
        <v>70</v>
      </c>
      <c r="U304" t="s">
        <v>37</v>
      </c>
      <c r="V304">
        <v>28</v>
      </c>
      <c r="W304" t="s">
        <v>109</v>
      </c>
      <c r="X304" t="s">
        <v>237</v>
      </c>
      <c r="Y304" t="s">
        <v>39</v>
      </c>
    </row>
    <row r="305" spans="1:25" x14ac:dyDescent="0.45">
      <c r="A305" t="s">
        <v>967</v>
      </c>
      <c r="B305" t="s">
        <v>25</v>
      </c>
      <c r="C305" s="3" t="s">
        <v>26</v>
      </c>
      <c r="D305" s="3">
        <f t="shared" si="8"/>
        <v>44840</v>
      </c>
      <c r="E305" t="s">
        <v>968</v>
      </c>
      <c r="F305" s="4">
        <f t="shared" si="9"/>
        <v>0.7368055555555556</v>
      </c>
      <c r="G305" t="s">
        <v>969</v>
      </c>
      <c r="H305" t="s">
        <v>30</v>
      </c>
      <c r="I305" t="s">
        <v>43</v>
      </c>
      <c r="J305" t="s">
        <v>53</v>
      </c>
      <c r="K305" t="s">
        <v>45</v>
      </c>
      <c r="L305" t="s">
        <v>34</v>
      </c>
      <c r="M305">
        <v>6</v>
      </c>
      <c r="N305">
        <v>8</v>
      </c>
      <c r="O305">
        <v>7</v>
      </c>
      <c r="P305">
        <v>6</v>
      </c>
      <c r="Q305">
        <v>2</v>
      </c>
      <c r="R305">
        <v>4</v>
      </c>
      <c r="S305" t="s">
        <v>55</v>
      </c>
      <c r="T305" t="s">
        <v>970</v>
      </c>
      <c r="U305" t="s">
        <v>37</v>
      </c>
      <c r="V305">
        <v>25</v>
      </c>
      <c r="W305" t="s">
        <v>289</v>
      </c>
      <c r="X305" t="s">
        <v>240</v>
      </c>
      <c r="Y305" t="s">
        <v>39</v>
      </c>
    </row>
    <row r="306" spans="1:25" x14ac:dyDescent="0.45">
      <c r="A306" t="s">
        <v>971</v>
      </c>
      <c r="B306" t="s">
        <v>25</v>
      </c>
      <c r="C306" s="3" t="s">
        <v>26</v>
      </c>
      <c r="D306" s="3">
        <f t="shared" si="8"/>
        <v>44840</v>
      </c>
      <c r="E306" t="s">
        <v>972</v>
      </c>
      <c r="F306" s="4">
        <f t="shared" si="9"/>
        <v>0.74097222222222225</v>
      </c>
      <c r="G306" t="s">
        <v>42</v>
      </c>
      <c r="H306" t="s">
        <v>30</v>
      </c>
      <c r="I306" t="s">
        <v>31</v>
      </c>
      <c r="J306" t="s">
        <v>94</v>
      </c>
      <c r="K306" t="s">
        <v>45</v>
      </c>
      <c r="L306" t="s">
        <v>46</v>
      </c>
      <c r="M306">
        <v>5</v>
      </c>
      <c r="N306">
        <v>7</v>
      </c>
      <c r="O306">
        <v>7</v>
      </c>
      <c r="P306">
        <v>3</v>
      </c>
      <c r="Q306">
        <v>7</v>
      </c>
      <c r="R306">
        <v>9</v>
      </c>
      <c r="S306" t="s">
        <v>69</v>
      </c>
      <c r="T306" t="s">
        <v>70</v>
      </c>
      <c r="U306" t="s">
        <v>65</v>
      </c>
      <c r="V306">
        <v>26</v>
      </c>
      <c r="W306" t="s">
        <v>38</v>
      </c>
      <c r="X306" t="s">
        <v>237</v>
      </c>
      <c r="Y306" t="s">
        <v>48</v>
      </c>
    </row>
    <row r="307" spans="1:25" x14ac:dyDescent="0.45">
      <c r="A307" t="s">
        <v>973</v>
      </c>
      <c r="B307" t="s">
        <v>25</v>
      </c>
      <c r="C307" s="3" t="s">
        <v>26</v>
      </c>
      <c r="D307" s="3">
        <f t="shared" si="8"/>
        <v>44840</v>
      </c>
      <c r="E307" t="s">
        <v>974</v>
      </c>
      <c r="F307" s="4">
        <f t="shared" si="9"/>
        <v>0.75</v>
      </c>
      <c r="G307" t="s">
        <v>975</v>
      </c>
      <c r="H307" t="s">
        <v>52</v>
      </c>
      <c r="I307" t="s">
        <v>31</v>
      </c>
      <c r="J307" t="s">
        <v>82</v>
      </c>
      <c r="K307" t="s">
        <v>33</v>
      </c>
      <c r="L307" t="s">
        <v>34</v>
      </c>
      <c r="M307">
        <v>6</v>
      </c>
      <c r="N307">
        <v>3</v>
      </c>
      <c r="O307">
        <v>9</v>
      </c>
      <c r="P307">
        <v>5</v>
      </c>
      <c r="Q307">
        <v>8</v>
      </c>
      <c r="R307">
        <v>8</v>
      </c>
      <c r="S307" t="s">
        <v>85</v>
      </c>
      <c r="T307" t="s">
        <v>36</v>
      </c>
      <c r="U307" t="s">
        <v>65</v>
      </c>
      <c r="V307">
        <v>38</v>
      </c>
      <c r="W307" t="s">
        <v>38</v>
      </c>
      <c r="X307" t="s">
        <v>240</v>
      </c>
      <c r="Y307" t="s">
        <v>39</v>
      </c>
    </row>
    <row r="308" spans="1:25" x14ac:dyDescent="0.45">
      <c r="A308" t="s">
        <v>976</v>
      </c>
      <c r="B308" t="s">
        <v>25</v>
      </c>
      <c r="C308" s="3" t="s">
        <v>26</v>
      </c>
      <c r="D308" s="3">
        <f t="shared" si="8"/>
        <v>44840</v>
      </c>
      <c r="E308" t="s">
        <v>977</v>
      </c>
      <c r="F308" s="4">
        <f t="shared" si="9"/>
        <v>0.75347222222222221</v>
      </c>
      <c r="G308" t="s">
        <v>425</v>
      </c>
      <c r="H308" t="s">
        <v>78</v>
      </c>
      <c r="I308" t="s">
        <v>31</v>
      </c>
      <c r="J308" t="s">
        <v>53</v>
      </c>
      <c r="K308" t="s">
        <v>978</v>
      </c>
      <c r="L308" t="s">
        <v>84</v>
      </c>
      <c r="M308">
        <v>0</v>
      </c>
      <c r="N308">
        <v>3</v>
      </c>
      <c r="O308">
        <v>3</v>
      </c>
      <c r="P308">
        <v>3</v>
      </c>
      <c r="Q308">
        <v>4</v>
      </c>
      <c r="R308">
        <v>4</v>
      </c>
      <c r="S308" t="s">
        <v>85</v>
      </c>
      <c r="T308" t="s">
        <v>70</v>
      </c>
      <c r="U308" t="s">
        <v>65</v>
      </c>
      <c r="V308">
        <v>20</v>
      </c>
      <c r="W308" t="s">
        <v>419</v>
      </c>
      <c r="X308" t="s">
        <v>227</v>
      </c>
      <c r="Y308" t="s">
        <v>58</v>
      </c>
    </row>
    <row r="309" spans="1:25" x14ac:dyDescent="0.45">
      <c r="A309" t="s">
        <v>979</v>
      </c>
      <c r="B309" t="s">
        <v>25</v>
      </c>
      <c r="C309" s="3" t="s">
        <v>26</v>
      </c>
      <c r="D309" s="3">
        <f t="shared" si="8"/>
        <v>44840</v>
      </c>
      <c r="E309" t="s">
        <v>980</v>
      </c>
      <c r="F309" s="4">
        <f t="shared" si="9"/>
        <v>0.7583333333333333</v>
      </c>
      <c r="G309" t="s">
        <v>265</v>
      </c>
      <c r="H309" t="s">
        <v>30</v>
      </c>
      <c r="I309" t="s">
        <v>43</v>
      </c>
      <c r="J309" t="s">
        <v>94</v>
      </c>
      <c r="K309" t="s">
        <v>108</v>
      </c>
      <c r="L309" t="s">
        <v>84</v>
      </c>
      <c r="M309">
        <v>4</v>
      </c>
      <c r="N309">
        <v>6</v>
      </c>
      <c r="O309">
        <v>7</v>
      </c>
      <c r="P309">
        <v>7</v>
      </c>
      <c r="Q309">
        <v>2</v>
      </c>
      <c r="R309">
        <v>2</v>
      </c>
      <c r="S309" t="s">
        <v>85</v>
      </c>
      <c r="T309" t="s">
        <v>36</v>
      </c>
      <c r="U309" t="s">
        <v>65</v>
      </c>
      <c r="V309">
        <v>45</v>
      </c>
      <c r="W309" t="s">
        <v>38</v>
      </c>
      <c r="X309" t="s">
        <v>240</v>
      </c>
      <c r="Y309" t="s">
        <v>58</v>
      </c>
    </row>
    <row r="310" spans="1:25" x14ac:dyDescent="0.45">
      <c r="A310" t="s">
        <v>981</v>
      </c>
      <c r="B310" t="s">
        <v>25</v>
      </c>
      <c r="C310" s="3" t="s">
        <v>26</v>
      </c>
      <c r="D310" s="3">
        <f t="shared" si="8"/>
        <v>44840</v>
      </c>
      <c r="E310" t="s">
        <v>982</v>
      </c>
      <c r="F310" s="4">
        <f t="shared" si="9"/>
        <v>0.76180555555555551</v>
      </c>
      <c r="G310" t="s">
        <v>239</v>
      </c>
      <c r="H310" t="s">
        <v>30</v>
      </c>
      <c r="I310" t="s">
        <v>43</v>
      </c>
      <c r="J310" t="s">
        <v>87</v>
      </c>
      <c r="K310" t="s">
        <v>779</v>
      </c>
      <c r="L310" t="s">
        <v>34</v>
      </c>
      <c r="M310">
        <v>5</v>
      </c>
      <c r="N310">
        <v>3</v>
      </c>
      <c r="O310">
        <v>5</v>
      </c>
      <c r="P310">
        <v>6</v>
      </c>
      <c r="Q310">
        <v>6</v>
      </c>
      <c r="R310">
        <v>4</v>
      </c>
      <c r="S310" t="s">
        <v>69</v>
      </c>
      <c r="T310" t="s">
        <v>56</v>
      </c>
      <c r="U310" t="s">
        <v>37</v>
      </c>
      <c r="V310">
        <v>27</v>
      </c>
      <c r="W310" t="s">
        <v>47</v>
      </c>
      <c r="X310" t="s">
        <v>240</v>
      </c>
      <c r="Y310" t="s">
        <v>983</v>
      </c>
    </row>
    <row r="311" spans="1:25" x14ac:dyDescent="0.45">
      <c r="A311" t="s">
        <v>984</v>
      </c>
      <c r="B311" t="s">
        <v>25</v>
      </c>
      <c r="C311" s="3" t="s">
        <v>26</v>
      </c>
      <c r="D311" s="3">
        <f t="shared" si="8"/>
        <v>44840</v>
      </c>
      <c r="E311" t="s">
        <v>985</v>
      </c>
      <c r="F311" s="4">
        <f t="shared" si="9"/>
        <v>0.76597222222222228</v>
      </c>
      <c r="G311" t="s">
        <v>690</v>
      </c>
      <c r="H311" t="s">
        <v>30</v>
      </c>
      <c r="I311" t="s">
        <v>31</v>
      </c>
      <c r="J311" t="s">
        <v>44</v>
      </c>
      <c r="K311" t="s">
        <v>447</v>
      </c>
      <c r="L311" t="s">
        <v>34</v>
      </c>
      <c r="M311">
        <v>3</v>
      </c>
      <c r="N311">
        <v>7</v>
      </c>
      <c r="O311">
        <v>7</v>
      </c>
      <c r="P311">
        <v>7</v>
      </c>
      <c r="Q311">
        <v>7</v>
      </c>
      <c r="R311">
        <v>6</v>
      </c>
      <c r="S311" t="s">
        <v>69</v>
      </c>
      <c r="T311" t="s">
        <v>114</v>
      </c>
      <c r="U311" t="s">
        <v>37</v>
      </c>
      <c r="V311">
        <v>28</v>
      </c>
      <c r="W311" t="s">
        <v>47</v>
      </c>
      <c r="X311" t="s">
        <v>240</v>
      </c>
      <c r="Y311" t="s">
        <v>48</v>
      </c>
    </row>
    <row r="312" spans="1:25" x14ac:dyDescent="0.45">
      <c r="A312" t="s">
        <v>986</v>
      </c>
      <c r="B312" t="s">
        <v>25</v>
      </c>
      <c r="C312" s="3" t="s">
        <v>26</v>
      </c>
      <c r="D312" s="3">
        <f t="shared" si="8"/>
        <v>44840</v>
      </c>
      <c r="E312" t="s">
        <v>987</v>
      </c>
      <c r="F312" s="4">
        <f t="shared" si="9"/>
        <v>0.77083333333333337</v>
      </c>
      <c r="G312" t="s">
        <v>836</v>
      </c>
      <c r="H312" t="s">
        <v>123</v>
      </c>
      <c r="I312" t="s">
        <v>31</v>
      </c>
      <c r="J312" t="s">
        <v>53</v>
      </c>
      <c r="K312" t="s">
        <v>988</v>
      </c>
      <c r="L312" t="s">
        <v>46</v>
      </c>
      <c r="M312">
        <v>2</v>
      </c>
      <c r="N312">
        <v>10</v>
      </c>
      <c r="O312">
        <v>10</v>
      </c>
      <c r="P312">
        <v>10</v>
      </c>
      <c r="Q312">
        <v>10</v>
      </c>
      <c r="R312">
        <v>3</v>
      </c>
      <c r="S312" t="s">
        <v>85</v>
      </c>
      <c r="T312" t="s">
        <v>36</v>
      </c>
      <c r="U312" t="s">
        <v>65</v>
      </c>
      <c r="V312">
        <v>29</v>
      </c>
      <c r="W312" t="s">
        <v>267</v>
      </c>
      <c r="X312" t="s">
        <v>237</v>
      </c>
      <c r="Y312" t="s">
        <v>989</v>
      </c>
    </row>
    <row r="313" spans="1:25" x14ac:dyDescent="0.45">
      <c r="A313" t="s">
        <v>990</v>
      </c>
      <c r="B313" t="s">
        <v>25</v>
      </c>
      <c r="C313" s="3" t="s">
        <v>26</v>
      </c>
      <c r="D313" s="3">
        <f t="shared" si="8"/>
        <v>44840</v>
      </c>
      <c r="E313" t="s">
        <v>991</v>
      </c>
      <c r="F313" s="4">
        <f t="shared" si="9"/>
        <v>0.77638888888888891</v>
      </c>
      <c r="G313" t="s">
        <v>229</v>
      </c>
      <c r="H313" t="s">
        <v>992</v>
      </c>
      <c r="I313" t="s">
        <v>43</v>
      </c>
      <c r="J313" t="s">
        <v>44</v>
      </c>
      <c r="K313" t="s">
        <v>103</v>
      </c>
      <c r="L313" t="s">
        <v>257</v>
      </c>
      <c r="M313">
        <v>7</v>
      </c>
      <c r="N313">
        <v>7</v>
      </c>
      <c r="O313">
        <v>7</v>
      </c>
      <c r="P313">
        <v>7</v>
      </c>
      <c r="Q313">
        <v>7</v>
      </c>
      <c r="R313">
        <v>7</v>
      </c>
      <c r="S313" t="s">
        <v>85</v>
      </c>
      <c r="T313" t="s">
        <v>70</v>
      </c>
      <c r="U313" t="s">
        <v>65</v>
      </c>
      <c r="V313">
        <v>43</v>
      </c>
      <c r="W313" t="s">
        <v>565</v>
      </c>
      <c r="X313" t="s">
        <v>227</v>
      </c>
      <c r="Y313" t="s">
        <v>48</v>
      </c>
    </row>
    <row r="314" spans="1:25" x14ac:dyDescent="0.45">
      <c r="A314" t="s">
        <v>993</v>
      </c>
      <c r="B314" t="s">
        <v>25</v>
      </c>
      <c r="C314" s="3" t="s">
        <v>26</v>
      </c>
      <c r="D314" s="3">
        <f t="shared" si="8"/>
        <v>44840</v>
      </c>
      <c r="E314" t="s">
        <v>994</v>
      </c>
      <c r="F314" s="4">
        <f t="shared" si="9"/>
        <v>0.77777777777777779</v>
      </c>
      <c r="G314" t="s">
        <v>813</v>
      </c>
      <c r="H314" t="s">
        <v>30</v>
      </c>
      <c r="I314" t="s">
        <v>31</v>
      </c>
      <c r="J314" t="s">
        <v>53</v>
      </c>
      <c r="K314" t="s">
        <v>45</v>
      </c>
      <c r="L314" t="s">
        <v>34</v>
      </c>
      <c r="M314">
        <v>0</v>
      </c>
      <c r="N314">
        <v>5</v>
      </c>
      <c r="O314">
        <v>9</v>
      </c>
      <c r="P314">
        <v>9</v>
      </c>
      <c r="Q314">
        <v>0</v>
      </c>
      <c r="R314">
        <v>10</v>
      </c>
      <c r="S314" t="s">
        <v>85</v>
      </c>
      <c r="T314" t="s">
        <v>36</v>
      </c>
      <c r="U314" t="s">
        <v>37</v>
      </c>
      <c r="V314">
        <v>26</v>
      </c>
      <c r="W314" t="s">
        <v>995</v>
      </c>
      <c r="X314" t="s">
        <v>237</v>
      </c>
      <c r="Y314" t="s">
        <v>58</v>
      </c>
    </row>
    <row r="315" spans="1:25" x14ac:dyDescent="0.45">
      <c r="A315" t="s">
        <v>996</v>
      </c>
      <c r="B315" t="s">
        <v>25</v>
      </c>
      <c r="C315" s="3" t="s">
        <v>26</v>
      </c>
      <c r="D315" s="3">
        <f t="shared" si="8"/>
        <v>44840</v>
      </c>
      <c r="E315" t="s">
        <v>997</v>
      </c>
      <c r="F315" s="4">
        <f t="shared" si="9"/>
        <v>0.78333333333333333</v>
      </c>
      <c r="G315" t="s">
        <v>998</v>
      </c>
      <c r="H315" t="s">
        <v>123</v>
      </c>
      <c r="I315" t="s">
        <v>43</v>
      </c>
      <c r="J315" t="s">
        <v>44</v>
      </c>
      <c r="K315" t="s">
        <v>103</v>
      </c>
      <c r="L315" t="s">
        <v>84</v>
      </c>
      <c r="M315">
        <v>7</v>
      </c>
      <c r="N315">
        <v>8</v>
      </c>
      <c r="O315">
        <v>7</v>
      </c>
      <c r="P315">
        <v>7</v>
      </c>
      <c r="Q315">
        <v>8</v>
      </c>
      <c r="R315">
        <v>7</v>
      </c>
      <c r="S315" t="s">
        <v>85</v>
      </c>
      <c r="T315" t="s">
        <v>999</v>
      </c>
      <c r="U315" t="s">
        <v>65</v>
      </c>
      <c r="V315">
        <v>47</v>
      </c>
      <c r="W315" t="s">
        <v>38</v>
      </c>
      <c r="X315" t="s">
        <v>237</v>
      </c>
      <c r="Y315" t="s">
        <v>58</v>
      </c>
    </row>
    <row r="316" spans="1:25" x14ac:dyDescent="0.45">
      <c r="A316" t="s">
        <v>1000</v>
      </c>
      <c r="B316" t="s">
        <v>25</v>
      </c>
      <c r="C316" s="3" t="s">
        <v>26</v>
      </c>
      <c r="D316" s="3">
        <f t="shared" si="8"/>
        <v>44840</v>
      </c>
      <c r="E316" t="s">
        <v>1001</v>
      </c>
      <c r="F316" s="4">
        <f t="shared" si="9"/>
        <v>0.78541666666666665</v>
      </c>
      <c r="G316" t="s">
        <v>825</v>
      </c>
      <c r="H316" t="s">
        <v>123</v>
      </c>
      <c r="I316" t="s">
        <v>31</v>
      </c>
      <c r="J316" t="s">
        <v>53</v>
      </c>
      <c r="K316" t="s">
        <v>45</v>
      </c>
      <c r="L316" t="s">
        <v>34</v>
      </c>
      <c r="M316" t="s">
        <v>28</v>
      </c>
      <c r="N316" t="s">
        <v>28</v>
      </c>
      <c r="O316" t="s">
        <v>28</v>
      </c>
      <c r="P316">
        <v>8</v>
      </c>
      <c r="Q316">
        <v>10</v>
      </c>
      <c r="R316">
        <v>10</v>
      </c>
      <c r="S316" t="s">
        <v>55</v>
      </c>
      <c r="T316" t="s">
        <v>36</v>
      </c>
      <c r="U316" t="s">
        <v>37</v>
      </c>
      <c r="V316">
        <v>23</v>
      </c>
      <c r="W316" t="s">
        <v>419</v>
      </c>
      <c r="X316" t="s">
        <v>237</v>
      </c>
      <c r="Y316" t="s">
        <v>58</v>
      </c>
    </row>
    <row r="317" spans="1:25" x14ac:dyDescent="0.45">
      <c r="A317" t="s">
        <v>1002</v>
      </c>
      <c r="B317" t="s">
        <v>25</v>
      </c>
      <c r="C317" s="3" t="s">
        <v>26</v>
      </c>
      <c r="D317" s="3">
        <f t="shared" si="8"/>
        <v>44840</v>
      </c>
      <c r="E317" t="s">
        <v>1003</v>
      </c>
      <c r="F317" s="4">
        <f t="shared" si="9"/>
        <v>0.78819444444444442</v>
      </c>
      <c r="G317" t="s">
        <v>154</v>
      </c>
      <c r="H317" t="s">
        <v>30</v>
      </c>
      <c r="I317" t="s">
        <v>31</v>
      </c>
      <c r="J317" t="s">
        <v>53</v>
      </c>
      <c r="K317" t="s">
        <v>103</v>
      </c>
      <c r="L317" t="s">
        <v>34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2</v>
      </c>
      <c r="S317" t="s">
        <v>35</v>
      </c>
      <c r="T317" t="s">
        <v>70</v>
      </c>
      <c r="U317" t="s">
        <v>37</v>
      </c>
      <c r="V317">
        <v>25</v>
      </c>
      <c r="W317" t="s">
        <v>444</v>
      </c>
      <c r="X317" t="s">
        <v>237</v>
      </c>
      <c r="Y317" t="s">
        <v>1004</v>
      </c>
    </row>
    <row r="318" spans="1:25" x14ac:dyDescent="0.45">
      <c r="A318" t="s">
        <v>1005</v>
      </c>
      <c r="B318" t="s">
        <v>25</v>
      </c>
      <c r="C318" s="3" t="s">
        <v>26</v>
      </c>
      <c r="D318" s="3">
        <f t="shared" si="8"/>
        <v>44840</v>
      </c>
      <c r="E318" t="s">
        <v>1006</v>
      </c>
      <c r="F318" s="4">
        <f t="shared" si="9"/>
        <v>0.7944444444444444</v>
      </c>
      <c r="G318" t="s">
        <v>371</v>
      </c>
      <c r="H318" t="s">
        <v>1007</v>
      </c>
      <c r="I318" t="s">
        <v>43</v>
      </c>
      <c r="J318" t="s">
        <v>53</v>
      </c>
      <c r="K318" t="s">
        <v>45</v>
      </c>
      <c r="L318" t="s">
        <v>34</v>
      </c>
      <c r="M318">
        <v>6</v>
      </c>
      <c r="N318">
        <v>6</v>
      </c>
      <c r="O318">
        <v>3</v>
      </c>
      <c r="P318">
        <v>7</v>
      </c>
      <c r="Q318">
        <v>2</v>
      </c>
      <c r="R318">
        <v>4</v>
      </c>
      <c r="S318" t="s">
        <v>35</v>
      </c>
      <c r="T318" t="s">
        <v>1008</v>
      </c>
      <c r="U318" t="s">
        <v>37</v>
      </c>
      <c r="V318">
        <v>32</v>
      </c>
      <c r="W318" t="s">
        <v>500</v>
      </c>
      <c r="X318" t="s">
        <v>240</v>
      </c>
      <c r="Y318" t="s">
        <v>39</v>
      </c>
    </row>
    <row r="319" spans="1:25" x14ac:dyDescent="0.45">
      <c r="A319" t="s">
        <v>1009</v>
      </c>
      <c r="B319" t="s">
        <v>25</v>
      </c>
      <c r="C319" s="3" t="s">
        <v>26</v>
      </c>
      <c r="D319" s="3">
        <f t="shared" si="8"/>
        <v>44840</v>
      </c>
      <c r="E319" t="s">
        <v>1010</v>
      </c>
      <c r="F319" s="4">
        <f t="shared" si="9"/>
        <v>0.8</v>
      </c>
      <c r="G319" t="s">
        <v>275</v>
      </c>
      <c r="H319" t="s">
        <v>30</v>
      </c>
      <c r="I319" t="s">
        <v>31</v>
      </c>
      <c r="J319" t="s">
        <v>53</v>
      </c>
      <c r="K319" t="s">
        <v>45</v>
      </c>
      <c r="L319" t="s">
        <v>34</v>
      </c>
      <c r="M319">
        <v>1</v>
      </c>
      <c r="N319">
        <v>10</v>
      </c>
      <c r="O319">
        <v>10</v>
      </c>
      <c r="P319">
        <v>5</v>
      </c>
      <c r="Q319">
        <v>3</v>
      </c>
      <c r="R319">
        <v>1</v>
      </c>
      <c r="S319" t="s">
        <v>85</v>
      </c>
      <c r="T319" t="s">
        <v>70</v>
      </c>
      <c r="U319" t="s">
        <v>65</v>
      </c>
      <c r="V319">
        <v>25</v>
      </c>
      <c r="W319" t="s">
        <v>38</v>
      </c>
      <c r="X319" t="s">
        <v>237</v>
      </c>
      <c r="Y319" t="s">
        <v>39</v>
      </c>
    </row>
    <row r="320" spans="1:25" x14ac:dyDescent="0.45">
      <c r="A320" t="s">
        <v>1011</v>
      </c>
      <c r="B320" t="s">
        <v>25</v>
      </c>
      <c r="C320" s="3" t="s">
        <v>26</v>
      </c>
      <c r="D320" s="3">
        <f t="shared" si="8"/>
        <v>44840</v>
      </c>
      <c r="E320" t="s">
        <v>1012</v>
      </c>
      <c r="F320" s="4">
        <f t="shared" si="9"/>
        <v>0.80694444444444446</v>
      </c>
      <c r="G320" t="s">
        <v>654</v>
      </c>
      <c r="H320" t="s">
        <v>30</v>
      </c>
      <c r="I320" t="s">
        <v>43</v>
      </c>
      <c r="J320" t="s">
        <v>53</v>
      </c>
      <c r="K320" t="s">
        <v>45</v>
      </c>
      <c r="L320" t="s">
        <v>34</v>
      </c>
      <c r="M320">
        <v>1</v>
      </c>
      <c r="N320">
        <v>2</v>
      </c>
      <c r="O320">
        <v>10</v>
      </c>
      <c r="P320">
        <v>1</v>
      </c>
      <c r="Q320">
        <v>2</v>
      </c>
      <c r="R320">
        <v>8</v>
      </c>
      <c r="S320" t="s">
        <v>69</v>
      </c>
      <c r="T320" t="s">
        <v>36</v>
      </c>
      <c r="U320" t="s">
        <v>65</v>
      </c>
      <c r="V320">
        <v>29</v>
      </c>
      <c r="W320" t="s">
        <v>1013</v>
      </c>
      <c r="X320" t="s">
        <v>237</v>
      </c>
      <c r="Y320" t="s">
        <v>91</v>
      </c>
    </row>
    <row r="321" spans="1:25" x14ac:dyDescent="0.45">
      <c r="A321" t="s">
        <v>1014</v>
      </c>
      <c r="B321" t="s">
        <v>25</v>
      </c>
      <c r="C321" s="3" t="s">
        <v>26</v>
      </c>
      <c r="D321" s="3">
        <f t="shared" si="8"/>
        <v>44840</v>
      </c>
      <c r="E321" t="s">
        <v>1015</v>
      </c>
      <c r="F321" s="4">
        <f t="shared" si="9"/>
        <v>0.81041666666666667</v>
      </c>
      <c r="G321" t="s">
        <v>215</v>
      </c>
      <c r="H321" t="s">
        <v>30</v>
      </c>
      <c r="I321" t="s">
        <v>43</v>
      </c>
      <c r="J321" t="s">
        <v>44</v>
      </c>
      <c r="K321" t="s">
        <v>33</v>
      </c>
      <c r="L321" t="s">
        <v>84</v>
      </c>
      <c r="M321">
        <v>3</v>
      </c>
      <c r="N321">
        <v>7</v>
      </c>
      <c r="O321">
        <v>5</v>
      </c>
      <c r="P321">
        <v>5</v>
      </c>
      <c r="Q321">
        <v>3</v>
      </c>
      <c r="R321">
        <v>3</v>
      </c>
      <c r="S321" t="s">
        <v>85</v>
      </c>
      <c r="T321" t="s">
        <v>70</v>
      </c>
      <c r="U321" t="s">
        <v>65</v>
      </c>
      <c r="V321">
        <v>33</v>
      </c>
      <c r="W321" t="s">
        <v>38</v>
      </c>
      <c r="X321" t="s">
        <v>237</v>
      </c>
      <c r="Y321" t="s">
        <v>48</v>
      </c>
    </row>
    <row r="322" spans="1:25" x14ac:dyDescent="0.45">
      <c r="A322" t="s">
        <v>1016</v>
      </c>
      <c r="B322" t="s">
        <v>25</v>
      </c>
      <c r="C322" s="3" t="s">
        <v>26</v>
      </c>
      <c r="D322" s="3">
        <f t="shared" si="8"/>
        <v>44840</v>
      </c>
      <c r="E322" t="s">
        <v>1017</v>
      </c>
      <c r="F322" s="4">
        <f t="shared" si="9"/>
        <v>0.82638888888888884</v>
      </c>
      <c r="G322" t="s">
        <v>1018</v>
      </c>
      <c r="H322" t="s">
        <v>30</v>
      </c>
      <c r="I322" t="s">
        <v>43</v>
      </c>
      <c r="J322" t="s">
        <v>32</v>
      </c>
      <c r="K322" t="s">
        <v>108</v>
      </c>
      <c r="L322" t="s">
        <v>34</v>
      </c>
      <c r="M322">
        <v>6</v>
      </c>
      <c r="N322">
        <v>10</v>
      </c>
      <c r="O322">
        <v>10</v>
      </c>
      <c r="P322">
        <v>10</v>
      </c>
      <c r="Q322">
        <v>7</v>
      </c>
      <c r="R322">
        <v>6</v>
      </c>
      <c r="S322" t="s">
        <v>55</v>
      </c>
      <c r="T322" t="s">
        <v>1019</v>
      </c>
      <c r="U322" t="s">
        <v>37</v>
      </c>
      <c r="V322">
        <v>36</v>
      </c>
      <c r="W322" t="s">
        <v>38</v>
      </c>
      <c r="X322" t="s">
        <v>240</v>
      </c>
      <c r="Y322" t="s">
        <v>48</v>
      </c>
    </row>
    <row r="323" spans="1:25" x14ac:dyDescent="0.45">
      <c r="A323" t="s">
        <v>1020</v>
      </c>
      <c r="B323" t="s">
        <v>25</v>
      </c>
      <c r="C323" s="3" t="s">
        <v>26</v>
      </c>
      <c r="D323" s="3">
        <f t="shared" ref="D323:D386" si="10">DATEVALUE(C323)</f>
        <v>44840</v>
      </c>
      <c r="E323" t="s">
        <v>1021</v>
      </c>
      <c r="F323" s="4">
        <f t="shared" ref="F323:F386" si="11">TIMEVALUE(E323)</f>
        <v>0.82847222222222228</v>
      </c>
      <c r="G323" t="s">
        <v>317</v>
      </c>
      <c r="H323" t="s">
        <v>30</v>
      </c>
      <c r="I323" t="s">
        <v>31</v>
      </c>
      <c r="J323" t="s">
        <v>44</v>
      </c>
      <c r="K323" t="s">
        <v>33</v>
      </c>
      <c r="L323" t="s">
        <v>34</v>
      </c>
      <c r="M323">
        <v>4</v>
      </c>
      <c r="N323">
        <v>10</v>
      </c>
      <c r="O323">
        <v>9</v>
      </c>
      <c r="P323">
        <v>3</v>
      </c>
      <c r="Q323">
        <v>0</v>
      </c>
      <c r="R323">
        <v>10</v>
      </c>
      <c r="S323" t="s">
        <v>69</v>
      </c>
      <c r="T323" t="s">
        <v>56</v>
      </c>
      <c r="U323" t="s">
        <v>37</v>
      </c>
      <c r="V323">
        <v>25</v>
      </c>
      <c r="W323" t="s">
        <v>38</v>
      </c>
      <c r="X323" t="s">
        <v>237</v>
      </c>
      <c r="Y323" t="s">
        <v>39</v>
      </c>
    </row>
    <row r="324" spans="1:25" x14ac:dyDescent="0.45">
      <c r="A324" t="s">
        <v>1022</v>
      </c>
      <c r="B324" t="s">
        <v>25</v>
      </c>
      <c r="C324" s="3" t="s">
        <v>26</v>
      </c>
      <c r="D324" s="3">
        <f t="shared" si="10"/>
        <v>44840</v>
      </c>
      <c r="E324" t="s">
        <v>1023</v>
      </c>
      <c r="F324" s="4">
        <f t="shared" si="11"/>
        <v>0.83263888888888893</v>
      </c>
      <c r="G324" t="s">
        <v>1024</v>
      </c>
      <c r="H324" t="s">
        <v>77</v>
      </c>
      <c r="I324" t="s">
        <v>43</v>
      </c>
      <c r="J324" t="s">
        <v>63</v>
      </c>
      <c r="K324" t="s">
        <v>78</v>
      </c>
      <c r="L324" t="s">
        <v>34</v>
      </c>
      <c r="M324">
        <v>8</v>
      </c>
      <c r="N324">
        <v>7</v>
      </c>
      <c r="O324">
        <v>8</v>
      </c>
      <c r="P324">
        <v>7</v>
      </c>
      <c r="Q324">
        <v>7</v>
      </c>
      <c r="R324">
        <v>8</v>
      </c>
      <c r="S324" t="s">
        <v>85</v>
      </c>
      <c r="T324" t="s">
        <v>56</v>
      </c>
      <c r="U324" t="s">
        <v>37</v>
      </c>
      <c r="V324">
        <v>38</v>
      </c>
      <c r="W324" t="s">
        <v>38</v>
      </c>
      <c r="X324" t="s">
        <v>240</v>
      </c>
      <c r="Y324" t="s">
        <v>39</v>
      </c>
    </row>
    <row r="325" spans="1:25" x14ac:dyDescent="0.45">
      <c r="A325" t="s">
        <v>1025</v>
      </c>
      <c r="B325" t="s">
        <v>25</v>
      </c>
      <c r="C325" s="3" t="s">
        <v>26</v>
      </c>
      <c r="D325" s="3">
        <f t="shared" si="10"/>
        <v>44840</v>
      </c>
      <c r="E325" t="s">
        <v>1026</v>
      </c>
      <c r="F325" s="4">
        <f t="shared" si="11"/>
        <v>0.83680555555555558</v>
      </c>
      <c r="G325" t="s">
        <v>531</v>
      </c>
      <c r="H325" t="s">
        <v>30</v>
      </c>
      <c r="I325" t="s">
        <v>31</v>
      </c>
      <c r="J325" t="s">
        <v>94</v>
      </c>
      <c r="K325" t="s">
        <v>160</v>
      </c>
      <c r="L325" t="s">
        <v>46</v>
      </c>
      <c r="M325">
        <v>3</v>
      </c>
      <c r="N325">
        <v>2</v>
      </c>
      <c r="O325">
        <v>6</v>
      </c>
      <c r="P325">
        <v>6</v>
      </c>
      <c r="Q325">
        <v>5</v>
      </c>
      <c r="R325">
        <v>4</v>
      </c>
      <c r="S325" t="s">
        <v>69</v>
      </c>
      <c r="T325" t="s">
        <v>56</v>
      </c>
      <c r="U325" t="s">
        <v>37</v>
      </c>
      <c r="V325">
        <v>30</v>
      </c>
      <c r="W325" t="s">
        <v>38</v>
      </c>
      <c r="X325" t="s">
        <v>240</v>
      </c>
      <c r="Y325" t="s">
        <v>1027</v>
      </c>
    </row>
    <row r="326" spans="1:25" x14ac:dyDescent="0.45">
      <c r="A326" t="s">
        <v>1028</v>
      </c>
      <c r="B326" t="s">
        <v>25</v>
      </c>
      <c r="C326" s="3" t="s">
        <v>26</v>
      </c>
      <c r="D326" s="3">
        <f t="shared" si="10"/>
        <v>44840</v>
      </c>
      <c r="E326" t="s">
        <v>1029</v>
      </c>
      <c r="F326" s="4">
        <f t="shared" si="11"/>
        <v>0.85555555555555551</v>
      </c>
      <c r="G326" t="s">
        <v>527</v>
      </c>
      <c r="H326" t="s">
        <v>30</v>
      </c>
      <c r="I326" t="s">
        <v>31</v>
      </c>
      <c r="J326" t="s">
        <v>44</v>
      </c>
      <c r="K326" t="s">
        <v>103</v>
      </c>
      <c r="L326" t="s">
        <v>34</v>
      </c>
      <c r="M326">
        <v>3</v>
      </c>
      <c r="N326">
        <v>5</v>
      </c>
      <c r="O326">
        <v>6</v>
      </c>
      <c r="P326">
        <v>6</v>
      </c>
      <c r="Q326">
        <v>6</v>
      </c>
      <c r="R326">
        <v>7</v>
      </c>
      <c r="S326" t="s">
        <v>69</v>
      </c>
      <c r="T326" t="s">
        <v>114</v>
      </c>
      <c r="U326" t="s">
        <v>37</v>
      </c>
      <c r="V326">
        <v>35</v>
      </c>
      <c r="W326" t="s">
        <v>38</v>
      </c>
      <c r="X326" t="s">
        <v>240</v>
      </c>
      <c r="Y326" t="s">
        <v>58</v>
      </c>
    </row>
    <row r="327" spans="1:25" x14ac:dyDescent="0.45">
      <c r="A327" t="s">
        <v>1030</v>
      </c>
      <c r="B327" t="s">
        <v>25</v>
      </c>
      <c r="C327" s="3" t="s">
        <v>26</v>
      </c>
      <c r="D327" s="3">
        <f t="shared" si="10"/>
        <v>44840</v>
      </c>
      <c r="E327" t="s">
        <v>1031</v>
      </c>
      <c r="F327" s="4">
        <f t="shared" si="11"/>
        <v>0.8569444444444444</v>
      </c>
      <c r="G327" t="s">
        <v>250</v>
      </c>
      <c r="H327" t="s">
        <v>1032</v>
      </c>
      <c r="I327" t="s">
        <v>43</v>
      </c>
      <c r="J327" t="s">
        <v>44</v>
      </c>
      <c r="K327" t="s">
        <v>108</v>
      </c>
      <c r="L327" t="s">
        <v>1033</v>
      </c>
      <c r="M327">
        <v>0</v>
      </c>
      <c r="N327">
        <v>1</v>
      </c>
      <c r="O327">
        <v>10</v>
      </c>
      <c r="P327">
        <v>5</v>
      </c>
      <c r="Q327">
        <v>0</v>
      </c>
      <c r="R327">
        <v>0</v>
      </c>
      <c r="S327" t="s">
        <v>69</v>
      </c>
      <c r="T327" t="s">
        <v>70</v>
      </c>
      <c r="U327" t="s">
        <v>65</v>
      </c>
      <c r="V327">
        <v>42</v>
      </c>
      <c r="W327" t="s">
        <v>38</v>
      </c>
      <c r="X327" t="s">
        <v>237</v>
      </c>
      <c r="Y327" t="s">
        <v>39</v>
      </c>
    </row>
    <row r="328" spans="1:25" x14ac:dyDescent="0.45">
      <c r="A328" t="s">
        <v>1034</v>
      </c>
      <c r="B328" t="s">
        <v>25</v>
      </c>
      <c r="C328" s="3" t="s">
        <v>26</v>
      </c>
      <c r="D328" s="3">
        <f t="shared" si="10"/>
        <v>44840</v>
      </c>
      <c r="E328" t="s">
        <v>1035</v>
      </c>
      <c r="F328" s="4">
        <f t="shared" si="11"/>
        <v>0.88611111111111107</v>
      </c>
      <c r="G328" t="s">
        <v>682</v>
      </c>
      <c r="H328" t="s">
        <v>30</v>
      </c>
      <c r="I328" t="s">
        <v>31</v>
      </c>
      <c r="J328" t="s">
        <v>94</v>
      </c>
      <c r="K328" t="s">
        <v>33</v>
      </c>
      <c r="L328" t="s">
        <v>34</v>
      </c>
      <c r="M328">
        <v>3</v>
      </c>
      <c r="N328">
        <v>5</v>
      </c>
      <c r="O328">
        <v>4</v>
      </c>
      <c r="P328">
        <v>6</v>
      </c>
      <c r="Q328">
        <v>4</v>
      </c>
      <c r="R328">
        <v>6</v>
      </c>
      <c r="S328" t="s">
        <v>55</v>
      </c>
      <c r="T328" t="s">
        <v>36</v>
      </c>
      <c r="U328" t="s">
        <v>37</v>
      </c>
      <c r="V328">
        <v>30</v>
      </c>
      <c r="W328" t="s">
        <v>38</v>
      </c>
      <c r="X328" t="s">
        <v>240</v>
      </c>
      <c r="Y328" t="s">
        <v>39</v>
      </c>
    </row>
    <row r="329" spans="1:25" x14ac:dyDescent="0.45">
      <c r="A329" t="s">
        <v>1036</v>
      </c>
      <c r="B329" t="s">
        <v>25</v>
      </c>
      <c r="C329" s="3" t="s">
        <v>26</v>
      </c>
      <c r="D329" s="3">
        <f t="shared" si="10"/>
        <v>44840</v>
      </c>
      <c r="E329" t="s">
        <v>1037</v>
      </c>
      <c r="F329" s="4">
        <f t="shared" si="11"/>
        <v>0.89097222222222228</v>
      </c>
      <c r="G329" t="s">
        <v>229</v>
      </c>
      <c r="H329" t="s">
        <v>123</v>
      </c>
      <c r="I329" t="s">
        <v>31</v>
      </c>
      <c r="J329" t="s">
        <v>53</v>
      </c>
      <c r="K329" t="s">
        <v>1038</v>
      </c>
      <c r="L329" t="s">
        <v>34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 t="s">
        <v>35</v>
      </c>
      <c r="T329" t="s">
        <v>70</v>
      </c>
      <c r="U329" t="s">
        <v>65</v>
      </c>
      <c r="V329">
        <v>25</v>
      </c>
      <c r="W329" t="s">
        <v>57</v>
      </c>
      <c r="X329" t="s">
        <v>237</v>
      </c>
      <c r="Y329" t="s">
        <v>58</v>
      </c>
    </row>
    <row r="330" spans="1:25" x14ac:dyDescent="0.45">
      <c r="A330" t="s">
        <v>1039</v>
      </c>
      <c r="B330" t="s">
        <v>25</v>
      </c>
      <c r="C330" s="3" t="s">
        <v>26</v>
      </c>
      <c r="D330" s="3">
        <f t="shared" si="10"/>
        <v>44840</v>
      </c>
      <c r="E330" t="s">
        <v>1040</v>
      </c>
      <c r="F330" s="4">
        <f t="shared" si="11"/>
        <v>0.90625</v>
      </c>
      <c r="G330" t="s">
        <v>1041</v>
      </c>
      <c r="H330" t="s">
        <v>30</v>
      </c>
      <c r="I330" t="s">
        <v>43</v>
      </c>
      <c r="J330" t="s">
        <v>87</v>
      </c>
      <c r="K330" t="s">
        <v>33</v>
      </c>
      <c r="L330" t="s">
        <v>34</v>
      </c>
      <c r="M330">
        <v>5</v>
      </c>
      <c r="N330">
        <v>9</v>
      </c>
      <c r="O330">
        <v>5</v>
      </c>
      <c r="P330">
        <v>2</v>
      </c>
      <c r="Q330">
        <v>5</v>
      </c>
      <c r="R330">
        <v>1</v>
      </c>
      <c r="S330" t="s">
        <v>69</v>
      </c>
      <c r="T330" t="s">
        <v>114</v>
      </c>
      <c r="U330" t="s">
        <v>65</v>
      </c>
      <c r="V330">
        <v>28</v>
      </c>
      <c r="W330" t="s">
        <v>38</v>
      </c>
      <c r="X330" t="s">
        <v>237</v>
      </c>
      <c r="Y330" t="s">
        <v>48</v>
      </c>
    </row>
    <row r="331" spans="1:25" x14ac:dyDescent="0.45">
      <c r="A331" t="s">
        <v>1042</v>
      </c>
      <c r="B331" t="s">
        <v>25</v>
      </c>
      <c r="C331" s="3" t="s">
        <v>26</v>
      </c>
      <c r="D331" s="3">
        <f t="shared" si="10"/>
        <v>44840</v>
      </c>
      <c r="E331" t="s">
        <v>1043</v>
      </c>
      <c r="F331" s="4">
        <f t="shared" si="11"/>
        <v>0.9145833333333333</v>
      </c>
      <c r="G331" t="s">
        <v>1044</v>
      </c>
      <c r="H331" t="s">
        <v>30</v>
      </c>
      <c r="I331" t="s">
        <v>31</v>
      </c>
      <c r="J331" t="s">
        <v>53</v>
      </c>
      <c r="K331" t="s">
        <v>1045</v>
      </c>
      <c r="L331" t="s">
        <v>34</v>
      </c>
      <c r="M331">
        <v>5</v>
      </c>
      <c r="N331">
        <v>10</v>
      </c>
      <c r="O331">
        <v>8</v>
      </c>
      <c r="P331">
        <v>5</v>
      </c>
      <c r="Q331">
        <v>7</v>
      </c>
      <c r="R331">
        <v>10</v>
      </c>
      <c r="S331" t="s">
        <v>35</v>
      </c>
      <c r="T331" t="s">
        <v>1046</v>
      </c>
      <c r="U331" t="s">
        <v>37</v>
      </c>
      <c r="V331">
        <v>28</v>
      </c>
      <c r="W331" t="s">
        <v>47</v>
      </c>
      <c r="X331" t="s">
        <v>237</v>
      </c>
      <c r="Y331" t="s">
        <v>48</v>
      </c>
    </row>
    <row r="332" spans="1:25" x14ac:dyDescent="0.45">
      <c r="A332" t="s">
        <v>1047</v>
      </c>
      <c r="B332" t="s">
        <v>25</v>
      </c>
      <c r="C332" s="3" t="s">
        <v>26</v>
      </c>
      <c r="D332" s="3">
        <f t="shared" si="10"/>
        <v>44840</v>
      </c>
      <c r="E332" t="s">
        <v>1048</v>
      </c>
      <c r="F332" s="4">
        <f t="shared" si="11"/>
        <v>0.91527777777777775</v>
      </c>
      <c r="G332" t="s">
        <v>700</v>
      </c>
      <c r="H332" t="s">
        <v>123</v>
      </c>
      <c r="I332" t="s">
        <v>43</v>
      </c>
      <c r="J332" t="s">
        <v>53</v>
      </c>
      <c r="K332" t="s">
        <v>1049</v>
      </c>
      <c r="L332" t="s">
        <v>318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85</v>
      </c>
      <c r="T332" t="s">
        <v>70</v>
      </c>
      <c r="U332" t="s">
        <v>37</v>
      </c>
      <c r="V332">
        <v>20</v>
      </c>
      <c r="W332" t="s">
        <v>744</v>
      </c>
      <c r="X332" t="s">
        <v>227</v>
      </c>
      <c r="Y332" t="s">
        <v>48</v>
      </c>
    </row>
    <row r="333" spans="1:25" x14ac:dyDescent="0.45">
      <c r="A333" t="s">
        <v>1050</v>
      </c>
      <c r="B333" t="s">
        <v>25</v>
      </c>
      <c r="C333" s="3" t="s">
        <v>26</v>
      </c>
      <c r="D333" s="3">
        <f t="shared" si="10"/>
        <v>44840</v>
      </c>
      <c r="E333" t="s">
        <v>1051</v>
      </c>
      <c r="F333" s="4">
        <f t="shared" si="11"/>
        <v>0.93194444444444446</v>
      </c>
      <c r="G333" t="s">
        <v>1052</v>
      </c>
      <c r="H333" t="s">
        <v>30</v>
      </c>
      <c r="I333" t="s">
        <v>31</v>
      </c>
      <c r="J333" t="s">
        <v>32</v>
      </c>
      <c r="K333" t="s">
        <v>113</v>
      </c>
      <c r="L333" t="s">
        <v>1053</v>
      </c>
      <c r="M333">
        <v>7</v>
      </c>
      <c r="N333">
        <v>8</v>
      </c>
      <c r="O333">
        <v>7</v>
      </c>
      <c r="P333">
        <v>7</v>
      </c>
      <c r="Q333">
        <v>10</v>
      </c>
      <c r="R333">
        <v>10</v>
      </c>
      <c r="S333" t="s">
        <v>55</v>
      </c>
      <c r="T333" t="s">
        <v>114</v>
      </c>
      <c r="U333" t="s">
        <v>37</v>
      </c>
      <c r="V333">
        <v>33</v>
      </c>
      <c r="W333" t="s">
        <v>38</v>
      </c>
      <c r="X333" t="s">
        <v>240</v>
      </c>
      <c r="Y333" t="s">
        <v>91</v>
      </c>
    </row>
    <row r="334" spans="1:25" x14ac:dyDescent="0.45">
      <c r="A334" t="s">
        <v>1054</v>
      </c>
      <c r="B334" t="s">
        <v>25</v>
      </c>
      <c r="C334" s="3" t="s">
        <v>26</v>
      </c>
      <c r="D334" s="3">
        <f t="shared" si="10"/>
        <v>44840</v>
      </c>
      <c r="E334" t="s">
        <v>1055</v>
      </c>
      <c r="F334" s="4">
        <f t="shared" si="11"/>
        <v>0.93680555555555556</v>
      </c>
      <c r="G334" t="s">
        <v>1056</v>
      </c>
      <c r="H334" t="s">
        <v>30</v>
      </c>
      <c r="I334" t="s">
        <v>43</v>
      </c>
      <c r="J334" t="s">
        <v>94</v>
      </c>
      <c r="K334" t="s">
        <v>103</v>
      </c>
      <c r="L334" t="s">
        <v>34</v>
      </c>
      <c r="M334">
        <v>8</v>
      </c>
      <c r="N334">
        <v>6</v>
      </c>
      <c r="O334">
        <v>7</v>
      </c>
      <c r="P334">
        <v>7</v>
      </c>
      <c r="Q334">
        <v>8</v>
      </c>
      <c r="R334">
        <v>8</v>
      </c>
      <c r="S334" t="s">
        <v>55</v>
      </c>
      <c r="T334" t="s">
        <v>70</v>
      </c>
      <c r="U334" t="s">
        <v>37</v>
      </c>
      <c r="V334">
        <v>23</v>
      </c>
      <c r="W334" t="s">
        <v>38</v>
      </c>
      <c r="X334" t="s">
        <v>262</v>
      </c>
      <c r="Y334" t="s">
        <v>39</v>
      </c>
    </row>
    <row r="335" spans="1:25" x14ac:dyDescent="0.45">
      <c r="A335" t="s">
        <v>1057</v>
      </c>
      <c r="B335" t="s">
        <v>25</v>
      </c>
      <c r="C335" s="3" t="s">
        <v>26</v>
      </c>
      <c r="D335" s="3">
        <f t="shared" si="10"/>
        <v>44840</v>
      </c>
      <c r="E335" t="s">
        <v>1058</v>
      </c>
      <c r="F335" s="4">
        <f t="shared" si="11"/>
        <v>0.93888888888888888</v>
      </c>
      <c r="G335" t="s">
        <v>1059</v>
      </c>
      <c r="H335" t="s">
        <v>30</v>
      </c>
      <c r="I335" t="s">
        <v>31</v>
      </c>
      <c r="J335" t="s">
        <v>53</v>
      </c>
      <c r="K335" t="s">
        <v>33</v>
      </c>
      <c r="L335" t="s">
        <v>46</v>
      </c>
      <c r="M335">
        <v>4</v>
      </c>
      <c r="N335">
        <v>5</v>
      </c>
      <c r="O335">
        <v>7</v>
      </c>
      <c r="P335">
        <v>7</v>
      </c>
      <c r="Q335">
        <v>5</v>
      </c>
      <c r="R335">
        <v>7</v>
      </c>
      <c r="S335" t="s">
        <v>85</v>
      </c>
      <c r="T335" t="s">
        <v>70</v>
      </c>
      <c r="U335" t="s">
        <v>65</v>
      </c>
      <c r="V335">
        <v>35</v>
      </c>
      <c r="W335" t="s">
        <v>1060</v>
      </c>
      <c r="X335" t="s">
        <v>237</v>
      </c>
      <c r="Y335" t="s">
        <v>91</v>
      </c>
    </row>
    <row r="336" spans="1:25" x14ac:dyDescent="0.45">
      <c r="A336" t="s">
        <v>1061</v>
      </c>
      <c r="B336" t="s">
        <v>25</v>
      </c>
      <c r="C336" s="3" t="s">
        <v>26</v>
      </c>
      <c r="D336" s="3">
        <f t="shared" si="10"/>
        <v>44840</v>
      </c>
      <c r="E336" t="s">
        <v>1062</v>
      </c>
      <c r="F336" s="4">
        <f t="shared" si="11"/>
        <v>0.95</v>
      </c>
      <c r="G336" t="s">
        <v>1063</v>
      </c>
      <c r="H336" t="s">
        <v>123</v>
      </c>
      <c r="I336" t="s">
        <v>31</v>
      </c>
      <c r="J336" t="s">
        <v>53</v>
      </c>
      <c r="K336" t="s">
        <v>1064</v>
      </c>
      <c r="L336" t="s">
        <v>34</v>
      </c>
      <c r="M336">
        <v>2</v>
      </c>
      <c r="N336">
        <v>2</v>
      </c>
      <c r="O336">
        <v>3</v>
      </c>
      <c r="P336">
        <v>3</v>
      </c>
      <c r="Q336">
        <v>2</v>
      </c>
      <c r="R336">
        <v>3</v>
      </c>
      <c r="S336" t="s">
        <v>69</v>
      </c>
      <c r="T336" t="s">
        <v>56</v>
      </c>
      <c r="U336" t="s">
        <v>37</v>
      </c>
      <c r="V336">
        <v>22</v>
      </c>
      <c r="W336" t="s">
        <v>147</v>
      </c>
      <c r="X336" t="s">
        <v>237</v>
      </c>
      <c r="Y336" t="s">
        <v>48</v>
      </c>
    </row>
    <row r="337" spans="1:25" x14ac:dyDescent="0.45">
      <c r="A337" t="s">
        <v>1065</v>
      </c>
      <c r="B337" t="s">
        <v>25</v>
      </c>
      <c r="C337" s="3" t="s">
        <v>26</v>
      </c>
      <c r="D337" s="3">
        <f t="shared" si="10"/>
        <v>44840</v>
      </c>
      <c r="E337" t="s">
        <v>1066</v>
      </c>
      <c r="F337" s="4">
        <f t="shared" si="11"/>
        <v>0.95347222222222228</v>
      </c>
      <c r="G337" t="s">
        <v>654</v>
      </c>
      <c r="H337" t="s">
        <v>30</v>
      </c>
      <c r="I337" t="s">
        <v>31</v>
      </c>
      <c r="J337" t="s">
        <v>53</v>
      </c>
      <c r="K337" t="s">
        <v>103</v>
      </c>
      <c r="L337" t="s">
        <v>34</v>
      </c>
      <c r="M337">
        <v>5</v>
      </c>
      <c r="N337">
        <v>10</v>
      </c>
      <c r="O337">
        <v>5</v>
      </c>
      <c r="P337">
        <v>6</v>
      </c>
      <c r="Q337">
        <v>6</v>
      </c>
      <c r="R337">
        <v>8</v>
      </c>
      <c r="S337" t="s">
        <v>35</v>
      </c>
      <c r="T337" t="s">
        <v>70</v>
      </c>
      <c r="U337" t="s">
        <v>37</v>
      </c>
      <c r="V337">
        <v>33</v>
      </c>
      <c r="W337" t="s">
        <v>147</v>
      </c>
      <c r="X337" t="s">
        <v>237</v>
      </c>
      <c r="Y337" t="s">
        <v>48</v>
      </c>
    </row>
    <row r="338" spans="1:25" x14ac:dyDescent="0.45">
      <c r="A338" t="s">
        <v>1067</v>
      </c>
      <c r="B338" t="s">
        <v>25</v>
      </c>
      <c r="C338" s="3" t="s">
        <v>26</v>
      </c>
      <c r="D338" s="3">
        <f t="shared" si="10"/>
        <v>44840</v>
      </c>
      <c r="E338" t="s">
        <v>1068</v>
      </c>
      <c r="F338" s="4">
        <f t="shared" si="11"/>
        <v>0.95416666666666672</v>
      </c>
      <c r="G338" t="s">
        <v>700</v>
      </c>
      <c r="H338" t="s">
        <v>52</v>
      </c>
      <c r="I338" t="s">
        <v>43</v>
      </c>
      <c r="J338" t="s">
        <v>53</v>
      </c>
      <c r="K338" t="s">
        <v>712</v>
      </c>
      <c r="L338" t="s">
        <v>34</v>
      </c>
      <c r="M338">
        <v>1</v>
      </c>
      <c r="N338">
        <v>7</v>
      </c>
      <c r="O338">
        <v>7</v>
      </c>
      <c r="P338">
        <v>7</v>
      </c>
      <c r="Q338">
        <v>1</v>
      </c>
      <c r="R338">
        <v>2</v>
      </c>
      <c r="S338" t="s">
        <v>64</v>
      </c>
      <c r="T338" t="s">
        <v>70</v>
      </c>
      <c r="U338" t="s">
        <v>37</v>
      </c>
      <c r="V338">
        <v>22</v>
      </c>
      <c r="W338" t="s">
        <v>38</v>
      </c>
      <c r="X338" t="s">
        <v>237</v>
      </c>
      <c r="Y338" t="s">
        <v>39</v>
      </c>
    </row>
    <row r="339" spans="1:25" x14ac:dyDescent="0.45">
      <c r="A339" t="s">
        <v>1069</v>
      </c>
      <c r="B339" t="s">
        <v>25</v>
      </c>
      <c r="C339" s="3" t="s">
        <v>26</v>
      </c>
      <c r="D339" s="3">
        <f t="shared" si="10"/>
        <v>44840</v>
      </c>
      <c r="E339" t="s">
        <v>1070</v>
      </c>
      <c r="F339" s="4">
        <f t="shared" si="11"/>
        <v>0.9555555555555556</v>
      </c>
      <c r="G339" t="s">
        <v>1071</v>
      </c>
      <c r="H339" t="s">
        <v>30</v>
      </c>
      <c r="I339" t="s">
        <v>31</v>
      </c>
      <c r="J339" t="s">
        <v>87</v>
      </c>
      <c r="K339" t="s">
        <v>426</v>
      </c>
      <c r="L339" t="s">
        <v>46</v>
      </c>
      <c r="M339">
        <v>7</v>
      </c>
      <c r="N339">
        <v>8</v>
      </c>
      <c r="O339">
        <v>8</v>
      </c>
      <c r="P339">
        <v>7</v>
      </c>
      <c r="Q339">
        <v>5</v>
      </c>
      <c r="R339">
        <v>9</v>
      </c>
      <c r="S339" t="s">
        <v>85</v>
      </c>
      <c r="T339" t="s">
        <v>36</v>
      </c>
      <c r="U339" t="s">
        <v>37</v>
      </c>
      <c r="V339">
        <v>35</v>
      </c>
      <c r="W339" t="s">
        <v>38</v>
      </c>
      <c r="X339" t="s">
        <v>237</v>
      </c>
      <c r="Y339" t="s">
        <v>39</v>
      </c>
    </row>
    <row r="340" spans="1:25" x14ac:dyDescent="0.45">
      <c r="A340" t="s">
        <v>1072</v>
      </c>
      <c r="B340" t="s">
        <v>25</v>
      </c>
      <c r="C340" s="3" t="s">
        <v>26</v>
      </c>
      <c r="D340" s="3">
        <f t="shared" si="10"/>
        <v>44840</v>
      </c>
      <c r="E340" t="s">
        <v>1073</v>
      </c>
      <c r="F340" s="4">
        <f t="shared" si="11"/>
        <v>0.9604166666666667</v>
      </c>
      <c r="G340" t="s">
        <v>913</v>
      </c>
      <c r="H340" t="s">
        <v>30</v>
      </c>
      <c r="I340" t="s">
        <v>31</v>
      </c>
      <c r="J340" t="s">
        <v>94</v>
      </c>
      <c r="K340" t="s">
        <v>794</v>
      </c>
      <c r="L340" t="s">
        <v>84</v>
      </c>
      <c r="M340">
        <v>8</v>
      </c>
      <c r="N340">
        <v>5</v>
      </c>
      <c r="O340">
        <v>6</v>
      </c>
      <c r="P340">
        <v>4</v>
      </c>
      <c r="Q340">
        <v>4</v>
      </c>
      <c r="R340">
        <v>8</v>
      </c>
      <c r="S340" t="s">
        <v>55</v>
      </c>
      <c r="T340" t="s">
        <v>56</v>
      </c>
      <c r="U340" t="s">
        <v>65</v>
      </c>
      <c r="V340">
        <v>37</v>
      </c>
      <c r="W340" t="s">
        <v>38</v>
      </c>
      <c r="X340" t="s">
        <v>240</v>
      </c>
      <c r="Y340" t="s">
        <v>39</v>
      </c>
    </row>
    <row r="341" spans="1:25" x14ac:dyDescent="0.45">
      <c r="A341" t="s">
        <v>1074</v>
      </c>
      <c r="B341" t="s">
        <v>25</v>
      </c>
      <c r="C341" s="3" t="s">
        <v>26</v>
      </c>
      <c r="D341" s="3">
        <f t="shared" si="10"/>
        <v>44840</v>
      </c>
      <c r="E341" t="s">
        <v>1075</v>
      </c>
      <c r="F341" s="4">
        <f t="shared" si="11"/>
        <v>0.96388888888888891</v>
      </c>
      <c r="G341" t="s">
        <v>1076</v>
      </c>
      <c r="H341" t="s">
        <v>123</v>
      </c>
      <c r="I341" t="s">
        <v>31</v>
      </c>
      <c r="J341" t="s">
        <v>53</v>
      </c>
      <c r="K341" t="s">
        <v>45</v>
      </c>
      <c r="L341" t="s">
        <v>34</v>
      </c>
      <c r="M341">
        <v>4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64</v>
      </c>
      <c r="T341" t="s">
        <v>70</v>
      </c>
      <c r="U341" t="s">
        <v>37</v>
      </c>
      <c r="V341">
        <v>22</v>
      </c>
      <c r="W341" t="s">
        <v>38</v>
      </c>
      <c r="X341" t="s">
        <v>262</v>
      </c>
      <c r="Y341" t="s">
        <v>1077</v>
      </c>
    </row>
    <row r="342" spans="1:25" x14ac:dyDescent="0.45">
      <c r="A342" t="s">
        <v>1078</v>
      </c>
      <c r="B342" t="s">
        <v>25</v>
      </c>
      <c r="C342" s="3" t="s">
        <v>26</v>
      </c>
      <c r="D342" s="3">
        <f t="shared" si="10"/>
        <v>44840</v>
      </c>
      <c r="E342" t="s">
        <v>1079</v>
      </c>
      <c r="F342" s="4">
        <f t="shared" si="11"/>
        <v>0.97083333333333333</v>
      </c>
      <c r="G342" t="s">
        <v>1080</v>
      </c>
      <c r="H342" t="s">
        <v>30</v>
      </c>
      <c r="I342" t="s">
        <v>31</v>
      </c>
      <c r="J342" t="s">
        <v>94</v>
      </c>
      <c r="K342" t="s">
        <v>33</v>
      </c>
      <c r="L342" t="s">
        <v>34</v>
      </c>
      <c r="M342">
        <v>10</v>
      </c>
      <c r="N342">
        <v>10</v>
      </c>
      <c r="O342">
        <v>10</v>
      </c>
      <c r="P342">
        <v>7</v>
      </c>
      <c r="Q342">
        <v>10</v>
      </c>
      <c r="R342">
        <v>10</v>
      </c>
      <c r="S342" t="s">
        <v>85</v>
      </c>
      <c r="T342" t="s">
        <v>70</v>
      </c>
      <c r="U342" t="s">
        <v>37</v>
      </c>
      <c r="V342">
        <v>36</v>
      </c>
      <c r="W342" t="s">
        <v>38</v>
      </c>
      <c r="X342" t="s">
        <v>240</v>
      </c>
      <c r="Y342" t="s">
        <v>39</v>
      </c>
    </row>
    <row r="343" spans="1:25" x14ac:dyDescent="0.45">
      <c r="A343" t="s">
        <v>1081</v>
      </c>
      <c r="B343" t="s">
        <v>25</v>
      </c>
      <c r="C343" s="3" t="s">
        <v>26</v>
      </c>
      <c r="D343" s="3">
        <f t="shared" si="10"/>
        <v>44840</v>
      </c>
      <c r="E343" t="s">
        <v>1082</v>
      </c>
      <c r="F343" s="4">
        <f t="shared" si="11"/>
        <v>0.97986111111111107</v>
      </c>
      <c r="G343" t="s">
        <v>358</v>
      </c>
      <c r="H343" t="s">
        <v>77</v>
      </c>
      <c r="I343" t="s">
        <v>31</v>
      </c>
      <c r="J343" t="s">
        <v>87</v>
      </c>
      <c r="K343" t="s">
        <v>1083</v>
      </c>
      <c r="L343" t="s">
        <v>34</v>
      </c>
      <c r="M343">
        <v>6</v>
      </c>
      <c r="N343">
        <v>5</v>
      </c>
      <c r="O343">
        <v>8</v>
      </c>
      <c r="P343">
        <v>8</v>
      </c>
      <c r="Q343">
        <v>7</v>
      </c>
      <c r="R343">
        <v>9</v>
      </c>
      <c r="S343" t="s">
        <v>55</v>
      </c>
      <c r="T343" t="s">
        <v>56</v>
      </c>
      <c r="U343" t="s">
        <v>37</v>
      </c>
      <c r="V343">
        <v>26</v>
      </c>
      <c r="W343" t="s">
        <v>147</v>
      </c>
      <c r="X343" t="s">
        <v>237</v>
      </c>
      <c r="Y343" t="s">
        <v>91</v>
      </c>
    </row>
    <row r="344" spans="1:25" x14ac:dyDescent="0.45">
      <c r="A344" t="s">
        <v>1084</v>
      </c>
      <c r="B344" t="s">
        <v>25</v>
      </c>
      <c r="C344" s="3" t="s">
        <v>26</v>
      </c>
      <c r="D344" s="3">
        <f t="shared" si="10"/>
        <v>44840</v>
      </c>
      <c r="E344" t="s">
        <v>1085</v>
      </c>
      <c r="F344" s="4">
        <f t="shared" si="11"/>
        <v>0.98263888888888884</v>
      </c>
      <c r="G344" t="s">
        <v>1086</v>
      </c>
      <c r="H344" t="s">
        <v>30</v>
      </c>
      <c r="I344" t="s">
        <v>31</v>
      </c>
      <c r="J344" t="s">
        <v>53</v>
      </c>
      <c r="K344" t="s">
        <v>663</v>
      </c>
      <c r="L344" t="s">
        <v>46</v>
      </c>
      <c r="M344">
        <v>3</v>
      </c>
      <c r="N344">
        <v>2</v>
      </c>
      <c r="O344">
        <v>6</v>
      </c>
      <c r="P344">
        <v>5</v>
      </c>
      <c r="Q344">
        <v>5</v>
      </c>
      <c r="R344">
        <v>6</v>
      </c>
      <c r="S344" t="s">
        <v>85</v>
      </c>
      <c r="T344" t="s">
        <v>114</v>
      </c>
      <c r="U344" t="s">
        <v>65</v>
      </c>
      <c r="V344">
        <v>25</v>
      </c>
      <c r="W344" t="s">
        <v>1087</v>
      </c>
      <c r="X344" t="s">
        <v>237</v>
      </c>
      <c r="Y344" t="s">
        <v>48</v>
      </c>
    </row>
    <row r="345" spans="1:25" x14ac:dyDescent="0.45">
      <c r="A345" t="s">
        <v>1088</v>
      </c>
      <c r="B345" t="s">
        <v>25</v>
      </c>
      <c r="C345" s="3" t="s">
        <v>26</v>
      </c>
      <c r="D345" s="3">
        <f t="shared" si="10"/>
        <v>44840</v>
      </c>
      <c r="E345" t="s">
        <v>1089</v>
      </c>
      <c r="F345" s="4">
        <f t="shared" si="11"/>
        <v>0.98333333333333328</v>
      </c>
      <c r="G345" t="s">
        <v>913</v>
      </c>
      <c r="H345" t="s">
        <v>30</v>
      </c>
      <c r="I345" t="s">
        <v>31</v>
      </c>
      <c r="J345" t="s">
        <v>44</v>
      </c>
      <c r="K345" t="s">
        <v>1090</v>
      </c>
      <c r="L345" t="s">
        <v>46</v>
      </c>
      <c r="M345">
        <v>4</v>
      </c>
      <c r="N345">
        <v>6</v>
      </c>
      <c r="O345">
        <v>6</v>
      </c>
      <c r="P345">
        <v>5</v>
      </c>
      <c r="Q345">
        <v>5</v>
      </c>
      <c r="R345">
        <v>6</v>
      </c>
      <c r="S345" t="s">
        <v>85</v>
      </c>
      <c r="T345" t="s">
        <v>36</v>
      </c>
      <c r="U345" t="s">
        <v>65</v>
      </c>
      <c r="V345">
        <v>34</v>
      </c>
      <c r="W345" t="s">
        <v>38</v>
      </c>
      <c r="X345" t="s">
        <v>227</v>
      </c>
      <c r="Y345" t="s">
        <v>39</v>
      </c>
    </row>
    <row r="346" spans="1:25" x14ac:dyDescent="0.45">
      <c r="A346" t="s">
        <v>1091</v>
      </c>
      <c r="B346" t="s">
        <v>25</v>
      </c>
      <c r="C346" s="3" t="s">
        <v>26</v>
      </c>
      <c r="D346" s="3">
        <f t="shared" si="10"/>
        <v>44840</v>
      </c>
      <c r="E346" t="s">
        <v>1092</v>
      </c>
      <c r="F346" s="4">
        <f t="shared" si="11"/>
        <v>0.98402777777777772</v>
      </c>
      <c r="G346" t="s">
        <v>690</v>
      </c>
      <c r="H346" t="s">
        <v>30</v>
      </c>
      <c r="I346" t="s">
        <v>31</v>
      </c>
      <c r="J346" t="s">
        <v>53</v>
      </c>
      <c r="K346" t="s">
        <v>1093</v>
      </c>
      <c r="L346" t="s">
        <v>34</v>
      </c>
      <c r="M346">
        <v>4</v>
      </c>
      <c r="N346">
        <v>8</v>
      </c>
      <c r="O346">
        <v>8</v>
      </c>
      <c r="P346">
        <v>8</v>
      </c>
      <c r="Q346">
        <v>7</v>
      </c>
      <c r="R346">
        <v>8</v>
      </c>
      <c r="S346" t="s">
        <v>69</v>
      </c>
      <c r="T346" t="s">
        <v>36</v>
      </c>
      <c r="U346" t="s">
        <v>37</v>
      </c>
      <c r="V346">
        <v>33</v>
      </c>
      <c r="W346" t="s">
        <v>359</v>
      </c>
      <c r="X346" t="s">
        <v>237</v>
      </c>
      <c r="Y346" t="s">
        <v>91</v>
      </c>
    </row>
    <row r="347" spans="1:25" x14ac:dyDescent="0.45">
      <c r="A347" t="s">
        <v>1094</v>
      </c>
      <c r="B347" t="s">
        <v>25</v>
      </c>
      <c r="C347" s="3" t="s">
        <v>26</v>
      </c>
      <c r="D347" s="3">
        <f t="shared" si="10"/>
        <v>44840</v>
      </c>
      <c r="E347" t="s">
        <v>1095</v>
      </c>
      <c r="F347" s="4">
        <f t="shared" si="11"/>
        <v>0.99236111111111114</v>
      </c>
      <c r="G347" t="s">
        <v>425</v>
      </c>
      <c r="H347" t="s">
        <v>123</v>
      </c>
      <c r="I347" t="s">
        <v>43</v>
      </c>
      <c r="J347" t="s">
        <v>44</v>
      </c>
      <c r="K347" t="s">
        <v>83</v>
      </c>
      <c r="L347" t="s">
        <v>34</v>
      </c>
      <c r="M347">
        <v>0</v>
      </c>
      <c r="N347">
        <v>4</v>
      </c>
      <c r="O347">
        <v>0</v>
      </c>
      <c r="P347">
        <v>1</v>
      </c>
      <c r="Q347">
        <v>4</v>
      </c>
      <c r="R347">
        <v>2</v>
      </c>
      <c r="S347" t="s">
        <v>35</v>
      </c>
      <c r="T347" t="s">
        <v>56</v>
      </c>
      <c r="U347" t="s">
        <v>37</v>
      </c>
      <c r="V347">
        <v>37</v>
      </c>
      <c r="W347" t="s">
        <v>38</v>
      </c>
      <c r="X347" t="s">
        <v>237</v>
      </c>
      <c r="Y347" t="s">
        <v>39</v>
      </c>
    </row>
    <row r="348" spans="1:25" x14ac:dyDescent="0.45">
      <c r="A348" t="s">
        <v>1096</v>
      </c>
      <c r="B348" t="s">
        <v>25</v>
      </c>
      <c r="C348" s="3" t="s">
        <v>26</v>
      </c>
      <c r="D348" s="3">
        <f t="shared" si="10"/>
        <v>44840</v>
      </c>
      <c r="E348" t="s">
        <v>1097</v>
      </c>
      <c r="F348" s="4">
        <f t="shared" si="11"/>
        <v>0.99375000000000002</v>
      </c>
      <c r="G348" t="s">
        <v>89</v>
      </c>
      <c r="H348" t="s">
        <v>30</v>
      </c>
      <c r="I348" t="s">
        <v>43</v>
      </c>
      <c r="J348" t="s">
        <v>94</v>
      </c>
      <c r="K348" t="s">
        <v>340</v>
      </c>
      <c r="L348" t="s">
        <v>34</v>
      </c>
      <c r="M348">
        <v>5</v>
      </c>
      <c r="N348">
        <v>5</v>
      </c>
      <c r="O348">
        <v>7</v>
      </c>
      <c r="P348">
        <v>6</v>
      </c>
      <c r="Q348">
        <v>4</v>
      </c>
      <c r="R348">
        <v>6</v>
      </c>
      <c r="S348" t="s">
        <v>64</v>
      </c>
      <c r="T348" t="s">
        <v>70</v>
      </c>
      <c r="U348" t="s">
        <v>65</v>
      </c>
      <c r="V348">
        <v>54</v>
      </c>
      <c r="W348" t="s">
        <v>38</v>
      </c>
      <c r="X348" t="s">
        <v>227</v>
      </c>
      <c r="Y348" t="s">
        <v>39</v>
      </c>
    </row>
    <row r="349" spans="1:25" x14ac:dyDescent="0.45">
      <c r="A349" t="s">
        <v>1098</v>
      </c>
      <c r="B349" t="s">
        <v>25</v>
      </c>
      <c r="C349" s="3" t="s">
        <v>1099</v>
      </c>
      <c r="D349" s="3">
        <f t="shared" si="10"/>
        <v>44871</v>
      </c>
      <c r="E349" t="s">
        <v>1100</v>
      </c>
      <c r="F349" s="4">
        <f t="shared" si="11"/>
        <v>1.2500000000000001E-2</v>
      </c>
      <c r="G349" t="s">
        <v>700</v>
      </c>
      <c r="H349" t="s">
        <v>30</v>
      </c>
      <c r="I349" t="s">
        <v>31</v>
      </c>
      <c r="J349" t="s">
        <v>53</v>
      </c>
      <c r="K349" t="s">
        <v>45</v>
      </c>
      <c r="L349" t="s">
        <v>34</v>
      </c>
      <c r="M349">
        <v>2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64</v>
      </c>
      <c r="T349" t="s">
        <v>70</v>
      </c>
      <c r="U349" t="s">
        <v>37</v>
      </c>
      <c r="V349">
        <v>26</v>
      </c>
      <c r="W349" t="s">
        <v>147</v>
      </c>
      <c r="X349" t="s">
        <v>237</v>
      </c>
      <c r="Y349" t="s">
        <v>48</v>
      </c>
    </row>
    <row r="350" spans="1:25" x14ac:dyDescent="0.45">
      <c r="A350" t="s">
        <v>1101</v>
      </c>
      <c r="B350" t="s">
        <v>25</v>
      </c>
      <c r="C350" s="3" t="s">
        <v>1099</v>
      </c>
      <c r="D350" s="3">
        <f t="shared" si="10"/>
        <v>44871</v>
      </c>
      <c r="E350" t="s">
        <v>1102</v>
      </c>
      <c r="F350" s="4">
        <f t="shared" si="11"/>
        <v>1.8055555555555554E-2</v>
      </c>
      <c r="G350" t="s">
        <v>881</v>
      </c>
      <c r="H350" t="s">
        <v>30</v>
      </c>
      <c r="I350" t="s">
        <v>43</v>
      </c>
      <c r="J350" t="s">
        <v>44</v>
      </c>
      <c r="K350" t="s">
        <v>108</v>
      </c>
      <c r="L350" t="s">
        <v>46</v>
      </c>
      <c r="M350">
        <v>4</v>
      </c>
      <c r="N350">
        <v>7</v>
      </c>
      <c r="O350">
        <v>7</v>
      </c>
      <c r="P350">
        <v>7</v>
      </c>
      <c r="Q350">
        <v>2</v>
      </c>
      <c r="R350">
        <v>7</v>
      </c>
      <c r="S350" t="s">
        <v>85</v>
      </c>
      <c r="T350" t="s">
        <v>70</v>
      </c>
      <c r="U350" t="s">
        <v>65</v>
      </c>
      <c r="V350">
        <v>27</v>
      </c>
      <c r="W350" t="s">
        <v>38</v>
      </c>
      <c r="X350" t="s">
        <v>240</v>
      </c>
      <c r="Y350" t="s">
        <v>91</v>
      </c>
    </row>
    <row r="351" spans="1:25" x14ac:dyDescent="0.45">
      <c r="A351" t="s">
        <v>1103</v>
      </c>
      <c r="B351" t="s">
        <v>25</v>
      </c>
      <c r="C351" s="3" t="s">
        <v>1099</v>
      </c>
      <c r="D351" s="3">
        <f t="shared" si="10"/>
        <v>44871</v>
      </c>
      <c r="E351" t="s">
        <v>1102</v>
      </c>
      <c r="F351" s="4">
        <f t="shared" si="11"/>
        <v>1.8055555555555554E-2</v>
      </c>
      <c r="G351" t="s">
        <v>1104</v>
      </c>
      <c r="H351" t="s">
        <v>790</v>
      </c>
      <c r="I351" t="s">
        <v>31</v>
      </c>
      <c r="J351" t="s">
        <v>53</v>
      </c>
      <c r="K351" t="s">
        <v>90</v>
      </c>
      <c r="L351" t="s">
        <v>318</v>
      </c>
      <c r="M351">
        <v>2</v>
      </c>
      <c r="N351">
        <v>3</v>
      </c>
      <c r="O351">
        <v>6</v>
      </c>
      <c r="P351">
        <v>6</v>
      </c>
      <c r="Q351">
        <v>3</v>
      </c>
      <c r="R351">
        <v>5</v>
      </c>
      <c r="S351" t="s">
        <v>69</v>
      </c>
      <c r="T351" t="s">
        <v>70</v>
      </c>
      <c r="U351" t="s">
        <v>37</v>
      </c>
      <c r="V351">
        <v>24</v>
      </c>
      <c r="W351" t="s">
        <v>109</v>
      </c>
      <c r="X351" t="s">
        <v>237</v>
      </c>
      <c r="Y351" t="s">
        <v>39</v>
      </c>
    </row>
    <row r="352" spans="1:25" x14ac:dyDescent="0.45">
      <c r="A352" t="s">
        <v>1105</v>
      </c>
      <c r="B352" t="s">
        <v>25</v>
      </c>
      <c r="C352" s="3" t="s">
        <v>1099</v>
      </c>
      <c r="D352" s="3">
        <f t="shared" si="10"/>
        <v>44871</v>
      </c>
      <c r="E352" t="s">
        <v>1106</v>
      </c>
      <c r="F352" s="4">
        <f t="shared" si="11"/>
        <v>3.1944444444444442E-2</v>
      </c>
      <c r="G352" t="s">
        <v>333</v>
      </c>
      <c r="H352" t="s">
        <v>30</v>
      </c>
      <c r="I352" t="s">
        <v>31</v>
      </c>
      <c r="J352" t="s">
        <v>53</v>
      </c>
      <c r="K352" t="s">
        <v>45</v>
      </c>
      <c r="L352" t="s">
        <v>34</v>
      </c>
      <c r="M352">
        <v>5</v>
      </c>
      <c r="N352">
        <v>5</v>
      </c>
      <c r="O352">
        <v>5</v>
      </c>
      <c r="P352">
        <v>5</v>
      </c>
      <c r="Q352">
        <v>5</v>
      </c>
      <c r="R352">
        <v>10</v>
      </c>
      <c r="S352" t="s">
        <v>85</v>
      </c>
      <c r="T352" t="s">
        <v>70</v>
      </c>
      <c r="U352" t="s">
        <v>37</v>
      </c>
      <c r="V352">
        <v>24</v>
      </c>
      <c r="W352" t="s">
        <v>444</v>
      </c>
      <c r="X352" t="s">
        <v>237</v>
      </c>
      <c r="Y352" t="s">
        <v>39</v>
      </c>
    </row>
    <row r="353" spans="1:25" x14ac:dyDescent="0.45">
      <c r="A353" t="s">
        <v>1107</v>
      </c>
      <c r="B353" t="s">
        <v>25</v>
      </c>
      <c r="C353" s="3" t="s">
        <v>1099</v>
      </c>
      <c r="D353" s="3">
        <f t="shared" si="10"/>
        <v>44871</v>
      </c>
      <c r="E353" t="s">
        <v>1108</v>
      </c>
      <c r="F353" s="4">
        <f t="shared" si="11"/>
        <v>4.3055555555555555E-2</v>
      </c>
      <c r="G353" t="s">
        <v>93</v>
      </c>
      <c r="H353" t="s">
        <v>1109</v>
      </c>
      <c r="I353" t="s">
        <v>31</v>
      </c>
      <c r="J353" t="s">
        <v>53</v>
      </c>
      <c r="K353" t="s">
        <v>393</v>
      </c>
      <c r="L353" t="s">
        <v>34</v>
      </c>
      <c r="M353">
        <v>3</v>
      </c>
      <c r="N353">
        <v>4</v>
      </c>
      <c r="O353">
        <v>5</v>
      </c>
      <c r="P353">
        <v>3</v>
      </c>
      <c r="Q353">
        <v>2</v>
      </c>
      <c r="R353">
        <v>3</v>
      </c>
      <c r="S353" t="s">
        <v>85</v>
      </c>
      <c r="T353" t="s">
        <v>70</v>
      </c>
      <c r="U353" t="s">
        <v>37</v>
      </c>
      <c r="V353">
        <v>27</v>
      </c>
      <c r="W353" t="s">
        <v>1110</v>
      </c>
      <c r="X353" t="s">
        <v>237</v>
      </c>
      <c r="Y353" t="s">
        <v>39</v>
      </c>
    </row>
    <row r="354" spans="1:25" x14ac:dyDescent="0.45">
      <c r="A354" t="s">
        <v>1111</v>
      </c>
      <c r="B354" t="s">
        <v>25</v>
      </c>
      <c r="C354" s="3" t="s">
        <v>1099</v>
      </c>
      <c r="D354" s="3">
        <f t="shared" si="10"/>
        <v>44871</v>
      </c>
      <c r="E354" t="s">
        <v>1112</v>
      </c>
      <c r="F354" s="4">
        <f t="shared" si="11"/>
        <v>4.4444444444444446E-2</v>
      </c>
      <c r="G354" t="s">
        <v>171</v>
      </c>
      <c r="H354" t="s">
        <v>123</v>
      </c>
      <c r="I354" t="s">
        <v>43</v>
      </c>
      <c r="J354" t="s">
        <v>53</v>
      </c>
      <c r="K354" t="s">
        <v>843</v>
      </c>
      <c r="L354" t="s">
        <v>34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35</v>
      </c>
      <c r="T354" t="s">
        <v>36</v>
      </c>
      <c r="U354" t="s">
        <v>37</v>
      </c>
      <c r="V354">
        <v>25</v>
      </c>
      <c r="W354" t="s">
        <v>1113</v>
      </c>
      <c r="X354" t="s">
        <v>237</v>
      </c>
      <c r="Y354" t="s">
        <v>48</v>
      </c>
    </row>
    <row r="355" spans="1:25" x14ac:dyDescent="0.45">
      <c r="A355" t="s">
        <v>1114</v>
      </c>
      <c r="B355" t="s">
        <v>25</v>
      </c>
      <c r="C355" s="3" t="s">
        <v>1099</v>
      </c>
      <c r="D355" s="3">
        <f t="shared" si="10"/>
        <v>44871</v>
      </c>
      <c r="E355" t="s">
        <v>1115</v>
      </c>
      <c r="F355" s="4">
        <f t="shared" si="11"/>
        <v>5.1388888888888887E-2</v>
      </c>
      <c r="G355" t="s">
        <v>224</v>
      </c>
      <c r="H355" t="s">
        <v>30</v>
      </c>
      <c r="I355" t="s">
        <v>31</v>
      </c>
      <c r="J355" t="s">
        <v>53</v>
      </c>
      <c r="K355" t="s">
        <v>103</v>
      </c>
      <c r="L355" t="s">
        <v>34</v>
      </c>
      <c r="M355">
        <v>1</v>
      </c>
      <c r="N355">
        <v>7</v>
      </c>
      <c r="O355">
        <v>7</v>
      </c>
      <c r="P355">
        <v>7</v>
      </c>
      <c r="Q355">
        <v>7</v>
      </c>
      <c r="R355">
        <v>1</v>
      </c>
      <c r="S355" t="s">
        <v>69</v>
      </c>
      <c r="T355" t="s">
        <v>70</v>
      </c>
      <c r="U355" t="s">
        <v>65</v>
      </c>
      <c r="V355">
        <v>28</v>
      </c>
      <c r="W355" t="s">
        <v>109</v>
      </c>
      <c r="X355" t="s">
        <v>240</v>
      </c>
      <c r="Y355" t="s">
        <v>58</v>
      </c>
    </row>
    <row r="356" spans="1:25" x14ac:dyDescent="0.45">
      <c r="A356" t="s">
        <v>1116</v>
      </c>
      <c r="B356" t="s">
        <v>25</v>
      </c>
      <c r="C356" s="3" t="s">
        <v>1099</v>
      </c>
      <c r="D356" s="3">
        <f t="shared" si="10"/>
        <v>44871</v>
      </c>
      <c r="E356" t="s">
        <v>1117</v>
      </c>
      <c r="F356" s="4">
        <f t="shared" si="11"/>
        <v>5.2777777777777778E-2</v>
      </c>
      <c r="G356" t="s">
        <v>131</v>
      </c>
      <c r="H356" t="s">
        <v>1118</v>
      </c>
      <c r="I356" t="s">
        <v>43</v>
      </c>
      <c r="J356" t="s">
        <v>44</v>
      </c>
      <c r="K356" t="s">
        <v>108</v>
      </c>
      <c r="L356" t="s">
        <v>34</v>
      </c>
      <c r="M356">
        <v>3</v>
      </c>
      <c r="N356">
        <v>6</v>
      </c>
      <c r="O356">
        <v>5</v>
      </c>
      <c r="P356">
        <v>5</v>
      </c>
      <c r="Q356">
        <v>3</v>
      </c>
      <c r="R356">
        <v>4</v>
      </c>
      <c r="S356" t="s">
        <v>55</v>
      </c>
      <c r="T356" t="s">
        <v>36</v>
      </c>
      <c r="U356" t="s">
        <v>37</v>
      </c>
      <c r="V356">
        <v>21</v>
      </c>
      <c r="W356" t="s">
        <v>38</v>
      </c>
      <c r="X356" t="s">
        <v>237</v>
      </c>
      <c r="Y356" t="s">
        <v>48</v>
      </c>
    </row>
    <row r="357" spans="1:25" x14ac:dyDescent="0.45">
      <c r="A357" t="s">
        <v>1119</v>
      </c>
      <c r="B357" t="s">
        <v>25</v>
      </c>
      <c r="C357" s="3" t="s">
        <v>1099</v>
      </c>
      <c r="D357" s="3">
        <f t="shared" si="10"/>
        <v>44871</v>
      </c>
      <c r="E357" t="s">
        <v>1120</v>
      </c>
      <c r="F357" s="4">
        <f t="shared" si="11"/>
        <v>5.486111111111111E-2</v>
      </c>
      <c r="G357" t="s">
        <v>76</v>
      </c>
      <c r="H357" t="s">
        <v>30</v>
      </c>
      <c r="I357" t="s">
        <v>31</v>
      </c>
      <c r="J357" t="s">
        <v>87</v>
      </c>
      <c r="K357" t="s">
        <v>33</v>
      </c>
      <c r="L357" t="s">
        <v>376</v>
      </c>
      <c r="M357">
        <v>4</v>
      </c>
      <c r="N357">
        <v>4</v>
      </c>
      <c r="O357">
        <v>5</v>
      </c>
      <c r="P357">
        <v>5</v>
      </c>
      <c r="Q357">
        <v>4</v>
      </c>
      <c r="R357">
        <v>6</v>
      </c>
      <c r="S357" t="s">
        <v>69</v>
      </c>
      <c r="T357" t="s">
        <v>56</v>
      </c>
      <c r="U357" t="s">
        <v>65</v>
      </c>
      <c r="V357">
        <v>28</v>
      </c>
      <c r="W357" t="s">
        <v>38</v>
      </c>
      <c r="X357" t="s">
        <v>237</v>
      </c>
      <c r="Y357" t="s">
        <v>39</v>
      </c>
    </row>
    <row r="358" spans="1:25" x14ac:dyDescent="0.45">
      <c r="A358" t="s">
        <v>1121</v>
      </c>
      <c r="B358" t="s">
        <v>25</v>
      </c>
      <c r="C358" s="3" t="s">
        <v>1099</v>
      </c>
      <c r="D358" s="3">
        <f t="shared" si="10"/>
        <v>44871</v>
      </c>
      <c r="E358" t="s">
        <v>1122</v>
      </c>
      <c r="F358" s="4">
        <f t="shared" si="11"/>
        <v>5.8333333333333334E-2</v>
      </c>
      <c r="G358" t="s">
        <v>102</v>
      </c>
      <c r="H358" t="s">
        <v>30</v>
      </c>
      <c r="I358" t="s">
        <v>31</v>
      </c>
      <c r="J358" t="s">
        <v>53</v>
      </c>
      <c r="K358" t="s">
        <v>103</v>
      </c>
      <c r="L358" t="s">
        <v>34</v>
      </c>
      <c r="M358">
        <v>3</v>
      </c>
      <c r="N358">
        <v>5</v>
      </c>
      <c r="O358">
        <v>5</v>
      </c>
      <c r="P358">
        <v>5</v>
      </c>
      <c r="Q358">
        <v>5</v>
      </c>
      <c r="R358">
        <v>2</v>
      </c>
      <c r="S358" t="s">
        <v>85</v>
      </c>
      <c r="T358" t="s">
        <v>36</v>
      </c>
      <c r="U358" t="s">
        <v>37</v>
      </c>
      <c r="V358">
        <v>30</v>
      </c>
      <c r="W358" t="s">
        <v>796</v>
      </c>
      <c r="X358" t="s">
        <v>240</v>
      </c>
      <c r="Y358" t="s">
        <v>58</v>
      </c>
    </row>
    <row r="359" spans="1:25" x14ac:dyDescent="0.45">
      <c r="A359" t="s">
        <v>1123</v>
      </c>
      <c r="B359" t="s">
        <v>25</v>
      </c>
      <c r="C359" s="3" t="s">
        <v>1099</v>
      </c>
      <c r="D359" s="3">
        <f t="shared" si="10"/>
        <v>44871</v>
      </c>
      <c r="E359" t="s">
        <v>1124</v>
      </c>
      <c r="F359" s="4">
        <f t="shared" si="11"/>
        <v>6.6666666666666666E-2</v>
      </c>
      <c r="G359" t="s">
        <v>210</v>
      </c>
      <c r="H359" t="s">
        <v>30</v>
      </c>
      <c r="I359" t="s">
        <v>43</v>
      </c>
      <c r="J359" t="s">
        <v>53</v>
      </c>
      <c r="K359" t="s">
        <v>108</v>
      </c>
      <c r="L359" t="s">
        <v>34</v>
      </c>
      <c r="M359">
        <v>0</v>
      </c>
      <c r="N359">
        <v>10</v>
      </c>
      <c r="O359">
        <v>0</v>
      </c>
      <c r="P359">
        <v>9</v>
      </c>
      <c r="Q359">
        <v>5</v>
      </c>
      <c r="R359">
        <v>10</v>
      </c>
      <c r="S359" t="s">
        <v>55</v>
      </c>
      <c r="T359" t="s">
        <v>36</v>
      </c>
      <c r="U359" t="s">
        <v>37</v>
      </c>
      <c r="V359">
        <v>24</v>
      </c>
      <c r="W359" t="s">
        <v>1125</v>
      </c>
      <c r="X359" t="s">
        <v>262</v>
      </c>
      <c r="Y359" t="s">
        <v>58</v>
      </c>
    </row>
    <row r="360" spans="1:25" x14ac:dyDescent="0.45">
      <c r="A360" t="s">
        <v>1126</v>
      </c>
      <c r="B360" t="s">
        <v>25</v>
      </c>
      <c r="C360" s="3" t="s">
        <v>1099</v>
      </c>
      <c r="D360" s="3">
        <f t="shared" si="10"/>
        <v>44871</v>
      </c>
      <c r="E360" t="s">
        <v>1127</v>
      </c>
      <c r="F360" s="4">
        <f t="shared" si="11"/>
        <v>7.7083333333333337E-2</v>
      </c>
      <c r="G360" t="s">
        <v>646</v>
      </c>
      <c r="H360" t="s">
        <v>30</v>
      </c>
      <c r="I360" t="s">
        <v>31</v>
      </c>
      <c r="J360" t="s">
        <v>53</v>
      </c>
      <c r="K360" t="s">
        <v>33</v>
      </c>
      <c r="L360" t="s">
        <v>34</v>
      </c>
      <c r="M360">
        <v>7</v>
      </c>
      <c r="N360">
        <v>4</v>
      </c>
      <c r="O360">
        <v>6</v>
      </c>
      <c r="P360">
        <v>5</v>
      </c>
      <c r="Q360">
        <v>6</v>
      </c>
      <c r="R360">
        <v>6</v>
      </c>
      <c r="S360" t="s">
        <v>69</v>
      </c>
      <c r="T360" t="s">
        <v>36</v>
      </c>
      <c r="U360" t="s">
        <v>37</v>
      </c>
      <c r="V360">
        <v>26</v>
      </c>
      <c r="W360" t="s">
        <v>147</v>
      </c>
      <c r="X360" t="s">
        <v>237</v>
      </c>
      <c r="Y360" t="s">
        <v>200</v>
      </c>
    </row>
    <row r="361" spans="1:25" x14ac:dyDescent="0.45">
      <c r="A361" t="s">
        <v>1128</v>
      </c>
      <c r="B361" t="s">
        <v>25</v>
      </c>
      <c r="C361" s="3" t="s">
        <v>1099</v>
      </c>
      <c r="D361" s="3">
        <f t="shared" si="10"/>
        <v>44871</v>
      </c>
      <c r="E361" t="s">
        <v>1129</v>
      </c>
      <c r="F361" s="4">
        <f t="shared" si="11"/>
        <v>0.10555555555555556</v>
      </c>
      <c r="G361" t="s">
        <v>1130</v>
      </c>
      <c r="H361" t="s">
        <v>30</v>
      </c>
      <c r="I361" t="s">
        <v>31</v>
      </c>
      <c r="J361" t="s">
        <v>53</v>
      </c>
      <c r="K361" t="s">
        <v>103</v>
      </c>
      <c r="L361" t="s">
        <v>34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>
        <v>5</v>
      </c>
      <c r="S361" t="s">
        <v>85</v>
      </c>
      <c r="T361" t="s">
        <v>56</v>
      </c>
      <c r="U361" t="s">
        <v>65</v>
      </c>
      <c r="V361">
        <v>19</v>
      </c>
      <c r="W361" t="s">
        <v>939</v>
      </c>
      <c r="X361" t="s">
        <v>227</v>
      </c>
      <c r="Y361" t="s">
        <v>48</v>
      </c>
    </row>
    <row r="362" spans="1:25" x14ac:dyDescent="0.45">
      <c r="A362" t="s">
        <v>1131</v>
      </c>
      <c r="B362" t="s">
        <v>25</v>
      </c>
      <c r="C362" s="3" t="s">
        <v>1099</v>
      </c>
      <c r="D362" s="3">
        <f t="shared" si="10"/>
        <v>44871</v>
      </c>
      <c r="E362" t="s">
        <v>1132</v>
      </c>
      <c r="F362" s="4">
        <f t="shared" si="11"/>
        <v>0.12777777777777777</v>
      </c>
      <c r="G362" t="s">
        <v>278</v>
      </c>
      <c r="H362" t="s">
        <v>123</v>
      </c>
      <c r="I362" t="s">
        <v>43</v>
      </c>
      <c r="J362" t="s">
        <v>53</v>
      </c>
      <c r="K362" t="s">
        <v>1133</v>
      </c>
      <c r="L362" t="s">
        <v>34</v>
      </c>
      <c r="M362">
        <v>5</v>
      </c>
      <c r="N362">
        <v>6</v>
      </c>
      <c r="O362">
        <v>6</v>
      </c>
      <c r="P362">
        <v>5</v>
      </c>
      <c r="Q362">
        <v>1</v>
      </c>
      <c r="R362">
        <v>3</v>
      </c>
      <c r="S362" t="s">
        <v>85</v>
      </c>
      <c r="T362" t="s">
        <v>56</v>
      </c>
      <c r="U362" t="s">
        <v>65</v>
      </c>
      <c r="V362">
        <v>92</v>
      </c>
      <c r="W362" t="s">
        <v>147</v>
      </c>
      <c r="X362" t="s">
        <v>240</v>
      </c>
      <c r="Y362" t="s">
        <v>48</v>
      </c>
    </row>
    <row r="363" spans="1:25" x14ac:dyDescent="0.45">
      <c r="A363" t="s">
        <v>1134</v>
      </c>
      <c r="B363" t="s">
        <v>25</v>
      </c>
      <c r="C363" s="3" t="s">
        <v>1099</v>
      </c>
      <c r="D363" s="3">
        <f t="shared" si="10"/>
        <v>44871</v>
      </c>
      <c r="E363" t="s">
        <v>1135</v>
      </c>
      <c r="F363" s="4">
        <f t="shared" si="11"/>
        <v>0.12847222222222221</v>
      </c>
      <c r="G363" t="s">
        <v>1136</v>
      </c>
      <c r="H363" t="s">
        <v>30</v>
      </c>
      <c r="I363" t="s">
        <v>31</v>
      </c>
      <c r="J363" t="s">
        <v>53</v>
      </c>
      <c r="K363" t="s">
        <v>33</v>
      </c>
      <c r="L363" t="s">
        <v>34</v>
      </c>
      <c r="M363">
        <v>1</v>
      </c>
      <c r="N363">
        <v>8</v>
      </c>
      <c r="O363">
        <v>5</v>
      </c>
      <c r="P363">
        <v>1</v>
      </c>
      <c r="Q363">
        <v>7</v>
      </c>
      <c r="R363">
        <v>8</v>
      </c>
      <c r="S363" t="s">
        <v>85</v>
      </c>
      <c r="T363" t="s">
        <v>36</v>
      </c>
      <c r="U363" t="s">
        <v>37</v>
      </c>
      <c r="V363">
        <v>28</v>
      </c>
      <c r="W363" t="s">
        <v>57</v>
      </c>
      <c r="X363" t="s">
        <v>237</v>
      </c>
      <c r="Y363" t="s">
        <v>58</v>
      </c>
    </row>
    <row r="364" spans="1:25" x14ac:dyDescent="0.45">
      <c r="A364" t="s">
        <v>1137</v>
      </c>
      <c r="B364" t="s">
        <v>25</v>
      </c>
      <c r="C364" s="3" t="s">
        <v>1099</v>
      </c>
      <c r="D364" s="3">
        <f t="shared" si="10"/>
        <v>44871</v>
      </c>
      <c r="E364" t="s">
        <v>1138</v>
      </c>
      <c r="F364" s="4">
        <f t="shared" si="11"/>
        <v>0.12986111111111112</v>
      </c>
      <c r="G364" t="s">
        <v>157</v>
      </c>
      <c r="H364" t="s">
        <v>123</v>
      </c>
      <c r="I364" t="s">
        <v>31</v>
      </c>
      <c r="J364" t="s">
        <v>53</v>
      </c>
      <c r="K364" t="s">
        <v>108</v>
      </c>
      <c r="L364" t="s">
        <v>34</v>
      </c>
      <c r="M364">
        <v>0</v>
      </c>
      <c r="N364">
        <v>1</v>
      </c>
      <c r="O364">
        <v>2</v>
      </c>
      <c r="P364">
        <v>2</v>
      </c>
      <c r="Q364">
        <v>1</v>
      </c>
      <c r="R364">
        <v>1</v>
      </c>
      <c r="S364" t="s">
        <v>85</v>
      </c>
      <c r="T364" t="s">
        <v>70</v>
      </c>
      <c r="U364" t="s">
        <v>65</v>
      </c>
      <c r="V364">
        <v>24</v>
      </c>
      <c r="W364" t="s">
        <v>147</v>
      </c>
      <c r="X364" t="s">
        <v>240</v>
      </c>
      <c r="Y364" t="s">
        <v>48</v>
      </c>
    </row>
    <row r="365" spans="1:25" x14ac:dyDescent="0.45">
      <c r="A365" t="s">
        <v>1139</v>
      </c>
      <c r="B365" t="s">
        <v>25</v>
      </c>
      <c r="C365" s="3" t="s">
        <v>1099</v>
      </c>
      <c r="D365" s="3">
        <f t="shared" si="10"/>
        <v>44871</v>
      </c>
      <c r="E365" t="s">
        <v>1140</v>
      </c>
      <c r="F365" s="4">
        <f t="shared" si="11"/>
        <v>0.13402777777777777</v>
      </c>
      <c r="G365" t="s">
        <v>1141</v>
      </c>
      <c r="H365" t="s">
        <v>1142</v>
      </c>
      <c r="I365" t="s">
        <v>43</v>
      </c>
      <c r="J365" t="s">
        <v>44</v>
      </c>
      <c r="K365" t="s">
        <v>33</v>
      </c>
      <c r="L365" t="s">
        <v>34</v>
      </c>
      <c r="M365">
        <v>7</v>
      </c>
      <c r="N365">
        <v>10</v>
      </c>
      <c r="O365">
        <v>10</v>
      </c>
      <c r="P365">
        <v>10</v>
      </c>
      <c r="Q365">
        <v>5</v>
      </c>
      <c r="R365">
        <v>10</v>
      </c>
      <c r="S365" t="s">
        <v>55</v>
      </c>
      <c r="T365" t="s">
        <v>70</v>
      </c>
      <c r="U365" t="s">
        <v>37</v>
      </c>
      <c r="V365">
        <v>25</v>
      </c>
      <c r="W365" t="s">
        <v>38</v>
      </c>
      <c r="X365" t="s">
        <v>240</v>
      </c>
      <c r="Y365" t="s">
        <v>48</v>
      </c>
    </row>
    <row r="366" spans="1:25" x14ac:dyDescent="0.45">
      <c r="A366" t="s">
        <v>1143</v>
      </c>
      <c r="B366" t="s">
        <v>25</v>
      </c>
      <c r="C366" s="3" t="s">
        <v>1099</v>
      </c>
      <c r="D366" s="3">
        <f t="shared" si="10"/>
        <v>44871</v>
      </c>
      <c r="E366" t="s">
        <v>1144</v>
      </c>
      <c r="F366" s="4">
        <f t="shared" si="11"/>
        <v>0.13750000000000001</v>
      </c>
      <c r="G366" t="s">
        <v>1145</v>
      </c>
      <c r="H366" t="s">
        <v>30</v>
      </c>
      <c r="I366" t="s">
        <v>31</v>
      </c>
      <c r="J366" t="s">
        <v>44</v>
      </c>
      <c r="K366" t="s">
        <v>45</v>
      </c>
      <c r="L366" t="s">
        <v>34</v>
      </c>
      <c r="M366">
        <v>4</v>
      </c>
      <c r="N366">
        <v>5</v>
      </c>
      <c r="O366">
        <v>5</v>
      </c>
      <c r="P366">
        <v>5</v>
      </c>
      <c r="Q366">
        <v>6</v>
      </c>
      <c r="R366">
        <v>6</v>
      </c>
      <c r="S366" t="s">
        <v>85</v>
      </c>
      <c r="T366" t="s">
        <v>56</v>
      </c>
      <c r="U366" t="s">
        <v>37</v>
      </c>
      <c r="V366">
        <v>42</v>
      </c>
      <c r="W366" t="s">
        <v>109</v>
      </c>
      <c r="X366" t="s">
        <v>240</v>
      </c>
      <c r="Y366" t="s">
        <v>58</v>
      </c>
    </row>
    <row r="367" spans="1:25" x14ac:dyDescent="0.45">
      <c r="A367" t="s">
        <v>1146</v>
      </c>
      <c r="B367" t="s">
        <v>25</v>
      </c>
      <c r="C367" s="3" t="s">
        <v>1099</v>
      </c>
      <c r="D367" s="3">
        <f t="shared" si="10"/>
        <v>44871</v>
      </c>
      <c r="E367" t="s">
        <v>1147</v>
      </c>
      <c r="F367" s="4">
        <f t="shared" si="11"/>
        <v>0.15277777777777779</v>
      </c>
      <c r="G367" t="s">
        <v>126</v>
      </c>
      <c r="H367" t="s">
        <v>30</v>
      </c>
      <c r="I367" t="s">
        <v>31</v>
      </c>
      <c r="J367" t="s">
        <v>53</v>
      </c>
      <c r="K367" t="s">
        <v>103</v>
      </c>
      <c r="L367" t="s">
        <v>34</v>
      </c>
      <c r="M367">
        <v>2</v>
      </c>
      <c r="N367">
        <v>3</v>
      </c>
      <c r="O367">
        <v>3</v>
      </c>
      <c r="P367">
        <v>3</v>
      </c>
      <c r="Q367">
        <v>3</v>
      </c>
      <c r="R367">
        <v>3</v>
      </c>
      <c r="S367" t="s">
        <v>69</v>
      </c>
      <c r="T367" t="s">
        <v>70</v>
      </c>
      <c r="U367" t="s">
        <v>37</v>
      </c>
      <c r="V367">
        <v>21</v>
      </c>
      <c r="W367" t="s">
        <v>147</v>
      </c>
      <c r="X367" t="s">
        <v>237</v>
      </c>
      <c r="Y367" t="s">
        <v>48</v>
      </c>
    </row>
    <row r="368" spans="1:25" x14ac:dyDescent="0.45">
      <c r="A368" t="s">
        <v>1148</v>
      </c>
      <c r="B368" t="s">
        <v>25</v>
      </c>
      <c r="C368" s="3" t="s">
        <v>1099</v>
      </c>
      <c r="D368" s="3">
        <f t="shared" si="10"/>
        <v>44871</v>
      </c>
      <c r="E368" t="s">
        <v>1149</v>
      </c>
      <c r="F368" s="4">
        <f t="shared" si="11"/>
        <v>0.15763888888888888</v>
      </c>
      <c r="G368" t="s">
        <v>299</v>
      </c>
      <c r="H368" t="s">
        <v>30</v>
      </c>
      <c r="I368" t="s">
        <v>43</v>
      </c>
      <c r="J368" t="s">
        <v>94</v>
      </c>
      <c r="K368" t="s">
        <v>33</v>
      </c>
      <c r="L368" t="s">
        <v>34</v>
      </c>
      <c r="M368">
        <v>7</v>
      </c>
      <c r="N368">
        <v>8</v>
      </c>
      <c r="O368">
        <v>9</v>
      </c>
      <c r="P368">
        <v>7</v>
      </c>
      <c r="Q368">
        <v>7</v>
      </c>
      <c r="R368">
        <v>6</v>
      </c>
      <c r="S368" t="s">
        <v>55</v>
      </c>
      <c r="T368" t="s">
        <v>70</v>
      </c>
      <c r="U368" t="s">
        <v>37</v>
      </c>
      <c r="V368">
        <v>24</v>
      </c>
      <c r="W368" t="s">
        <v>38</v>
      </c>
      <c r="X368" t="s">
        <v>237</v>
      </c>
      <c r="Y368" t="s">
        <v>39</v>
      </c>
    </row>
    <row r="369" spans="1:25" x14ac:dyDescent="0.45">
      <c r="A369" t="s">
        <v>1150</v>
      </c>
      <c r="B369" t="s">
        <v>25</v>
      </c>
      <c r="C369" s="3" t="s">
        <v>1099</v>
      </c>
      <c r="D369" s="3">
        <f t="shared" si="10"/>
        <v>44871</v>
      </c>
      <c r="E369" t="s">
        <v>1151</v>
      </c>
      <c r="F369" s="4">
        <f t="shared" si="11"/>
        <v>0.16458333333333333</v>
      </c>
      <c r="G369" t="s">
        <v>206</v>
      </c>
      <c r="H369" t="s">
        <v>30</v>
      </c>
      <c r="I369" t="s">
        <v>31</v>
      </c>
      <c r="J369" t="s">
        <v>44</v>
      </c>
      <c r="K369" t="s">
        <v>33</v>
      </c>
      <c r="L369" t="s">
        <v>34</v>
      </c>
      <c r="M369">
        <v>4</v>
      </c>
      <c r="N369">
        <v>7</v>
      </c>
      <c r="O369">
        <v>6</v>
      </c>
      <c r="P369">
        <v>6</v>
      </c>
      <c r="Q369">
        <v>6</v>
      </c>
      <c r="R369">
        <v>7</v>
      </c>
      <c r="S369" t="s">
        <v>85</v>
      </c>
      <c r="T369" t="s">
        <v>70</v>
      </c>
      <c r="U369" t="s">
        <v>65</v>
      </c>
      <c r="V369">
        <v>26</v>
      </c>
      <c r="W369" t="s">
        <v>38</v>
      </c>
      <c r="X369" t="s">
        <v>237</v>
      </c>
      <c r="Y369" t="s">
        <v>39</v>
      </c>
    </row>
    <row r="370" spans="1:25" x14ac:dyDescent="0.45">
      <c r="A370" t="s">
        <v>1152</v>
      </c>
      <c r="B370" t="s">
        <v>25</v>
      </c>
      <c r="C370" s="3" t="s">
        <v>1099</v>
      </c>
      <c r="D370" s="3">
        <f t="shared" si="10"/>
        <v>44871</v>
      </c>
      <c r="E370" t="s">
        <v>1153</v>
      </c>
      <c r="F370" s="4">
        <f t="shared" si="11"/>
        <v>0.1673611111111111</v>
      </c>
      <c r="G370" t="s">
        <v>490</v>
      </c>
      <c r="H370" t="s">
        <v>30</v>
      </c>
      <c r="I370" t="s">
        <v>31</v>
      </c>
      <c r="J370" t="s">
        <v>53</v>
      </c>
      <c r="K370" t="s">
        <v>1154</v>
      </c>
      <c r="L370" t="s">
        <v>34</v>
      </c>
      <c r="M370">
        <v>2</v>
      </c>
      <c r="N370">
        <v>8</v>
      </c>
      <c r="O370">
        <v>8</v>
      </c>
      <c r="P370">
        <v>9</v>
      </c>
      <c r="Q370">
        <v>8</v>
      </c>
      <c r="R370">
        <v>10</v>
      </c>
      <c r="S370" t="s">
        <v>69</v>
      </c>
      <c r="T370" t="s">
        <v>70</v>
      </c>
      <c r="U370" t="s">
        <v>37</v>
      </c>
      <c r="V370">
        <v>30</v>
      </c>
      <c r="W370" t="s">
        <v>109</v>
      </c>
      <c r="X370" t="s">
        <v>237</v>
      </c>
      <c r="Y370" t="s">
        <v>39</v>
      </c>
    </row>
    <row r="371" spans="1:25" x14ac:dyDescent="0.45">
      <c r="A371" t="s">
        <v>1155</v>
      </c>
      <c r="B371" t="s">
        <v>25</v>
      </c>
      <c r="C371" s="3" t="s">
        <v>1099</v>
      </c>
      <c r="D371" s="3">
        <f t="shared" si="10"/>
        <v>44871</v>
      </c>
      <c r="E371" t="s">
        <v>1156</v>
      </c>
      <c r="F371" s="4">
        <f t="shared" si="11"/>
        <v>0.17569444444444443</v>
      </c>
      <c r="G371" t="s">
        <v>1157</v>
      </c>
      <c r="H371" t="s">
        <v>52</v>
      </c>
      <c r="I371" t="s">
        <v>31</v>
      </c>
      <c r="J371" t="s">
        <v>87</v>
      </c>
      <c r="K371" t="s">
        <v>1158</v>
      </c>
      <c r="L371" t="s">
        <v>84</v>
      </c>
      <c r="M371">
        <v>6</v>
      </c>
      <c r="N371">
        <v>10</v>
      </c>
      <c r="O371">
        <v>10</v>
      </c>
      <c r="P371">
        <v>10</v>
      </c>
      <c r="Q371">
        <v>10</v>
      </c>
      <c r="R371">
        <v>10</v>
      </c>
      <c r="S371" t="s">
        <v>85</v>
      </c>
      <c r="T371" t="s">
        <v>114</v>
      </c>
      <c r="U371" t="s">
        <v>37</v>
      </c>
      <c r="V371">
        <v>27</v>
      </c>
      <c r="W371" t="s">
        <v>38</v>
      </c>
      <c r="X371" t="s">
        <v>237</v>
      </c>
      <c r="Y371" t="s">
        <v>58</v>
      </c>
    </row>
    <row r="372" spans="1:25" x14ac:dyDescent="0.45">
      <c r="A372" t="s">
        <v>1159</v>
      </c>
      <c r="B372" t="s">
        <v>25</v>
      </c>
      <c r="C372" s="3" t="s">
        <v>1099</v>
      </c>
      <c r="D372" s="3">
        <f t="shared" si="10"/>
        <v>44871</v>
      </c>
      <c r="E372" t="s">
        <v>1160</v>
      </c>
      <c r="F372" s="4">
        <f t="shared" si="11"/>
        <v>0.18333333333333332</v>
      </c>
      <c r="G372" t="s">
        <v>646</v>
      </c>
      <c r="H372" t="s">
        <v>52</v>
      </c>
      <c r="I372" t="s">
        <v>31</v>
      </c>
      <c r="J372" t="s">
        <v>53</v>
      </c>
      <c r="K372" t="s">
        <v>103</v>
      </c>
      <c r="L372" t="s">
        <v>34</v>
      </c>
      <c r="M372">
        <v>0</v>
      </c>
      <c r="N372">
        <v>4</v>
      </c>
      <c r="O372">
        <v>1</v>
      </c>
      <c r="P372">
        <v>0</v>
      </c>
      <c r="Q372">
        <v>1</v>
      </c>
      <c r="R372">
        <v>3</v>
      </c>
      <c r="S372" t="s">
        <v>55</v>
      </c>
      <c r="T372" t="s">
        <v>70</v>
      </c>
      <c r="U372" t="s">
        <v>37</v>
      </c>
      <c r="V372">
        <v>28</v>
      </c>
      <c r="W372" t="s">
        <v>147</v>
      </c>
      <c r="X372" t="s">
        <v>237</v>
      </c>
      <c r="Y372" t="s">
        <v>48</v>
      </c>
    </row>
    <row r="373" spans="1:25" x14ac:dyDescent="0.45">
      <c r="A373" t="s">
        <v>1161</v>
      </c>
      <c r="B373" t="s">
        <v>25</v>
      </c>
      <c r="C373" s="3" t="s">
        <v>1099</v>
      </c>
      <c r="D373" s="3">
        <f t="shared" si="10"/>
        <v>44871</v>
      </c>
      <c r="E373" t="s">
        <v>1162</v>
      </c>
      <c r="F373" s="4">
        <f t="shared" si="11"/>
        <v>0.20972222222222223</v>
      </c>
      <c r="G373" t="s">
        <v>813</v>
      </c>
      <c r="H373" t="s">
        <v>30</v>
      </c>
      <c r="I373" t="s">
        <v>43</v>
      </c>
      <c r="J373" t="s">
        <v>94</v>
      </c>
      <c r="K373" t="s">
        <v>712</v>
      </c>
      <c r="L373" t="s">
        <v>84</v>
      </c>
      <c r="M373">
        <v>6</v>
      </c>
      <c r="N373">
        <v>8</v>
      </c>
      <c r="O373">
        <v>7</v>
      </c>
      <c r="P373">
        <v>7</v>
      </c>
      <c r="Q373">
        <v>5</v>
      </c>
      <c r="R373">
        <v>6</v>
      </c>
      <c r="S373" t="s">
        <v>55</v>
      </c>
      <c r="T373" t="s">
        <v>70</v>
      </c>
      <c r="U373" t="s">
        <v>65</v>
      </c>
      <c r="V373">
        <v>29</v>
      </c>
      <c r="W373" t="s">
        <v>109</v>
      </c>
      <c r="X373" t="s">
        <v>237</v>
      </c>
      <c r="Y373" t="s">
        <v>39</v>
      </c>
    </row>
    <row r="374" spans="1:25" x14ac:dyDescent="0.45">
      <c r="A374" t="s">
        <v>1163</v>
      </c>
      <c r="B374" t="s">
        <v>25</v>
      </c>
      <c r="C374" s="3" t="s">
        <v>1099</v>
      </c>
      <c r="D374" s="3">
        <f t="shared" si="10"/>
        <v>44871</v>
      </c>
      <c r="E374" t="s">
        <v>1164</v>
      </c>
      <c r="F374" s="4">
        <f t="shared" si="11"/>
        <v>0.21666666666666667</v>
      </c>
      <c r="G374" t="s">
        <v>288</v>
      </c>
      <c r="H374" t="s">
        <v>30</v>
      </c>
      <c r="I374" t="s">
        <v>43</v>
      </c>
      <c r="J374" t="s">
        <v>53</v>
      </c>
      <c r="K374" t="s">
        <v>1165</v>
      </c>
      <c r="L374" t="s">
        <v>34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55</v>
      </c>
      <c r="T374" t="s">
        <v>56</v>
      </c>
      <c r="U374" t="s">
        <v>65</v>
      </c>
      <c r="V374">
        <v>26</v>
      </c>
      <c r="W374" t="s">
        <v>147</v>
      </c>
      <c r="X374" t="s">
        <v>237</v>
      </c>
      <c r="Y374" t="s">
        <v>48</v>
      </c>
    </row>
    <row r="375" spans="1:25" x14ac:dyDescent="0.45">
      <c r="A375" t="s">
        <v>1166</v>
      </c>
      <c r="B375" t="s">
        <v>25</v>
      </c>
      <c r="C375" s="3" t="s">
        <v>1099</v>
      </c>
      <c r="D375" s="3">
        <f t="shared" si="10"/>
        <v>44871</v>
      </c>
      <c r="E375" t="s">
        <v>1167</v>
      </c>
      <c r="F375" s="4">
        <f t="shared" si="11"/>
        <v>0.22569444444444445</v>
      </c>
      <c r="G375" t="s">
        <v>224</v>
      </c>
      <c r="H375" t="s">
        <v>52</v>
      </c>
      <c r="I375" t="s">
        <v>31</v>
      </c>
      <c r="J375" t="s">
        <v>53</v>
      </c>
      <c r="K375" t="s">
        <v>45</v>
      </c>
      <c r="L375" t="s">
        <v>34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4</v>
      </c>
      <c r="S375" t="s">
        <v>85</v>
      </c>
      <c r="T375" t="s">
        <v>36</v>
      </c>
      <c r="U375" t="s">
        <v>37</v>
      </c>
      <c r="V375">
        <v>29</v>
      </c>
      <c r="W375" t="s">
        <v>1168</v>
      </c>
      <c r="X375" t="s">
        <v>237</v>
      </c>
      <c r="Y375" t="s">
        <v>58</v>
      </c>
    </row>
    <row r="376" spans="1:25" x14ac:dyDescent="0.45">
      <c r="A376" t="s">
        <v>1169</v>
      </c>
      <c r="B376" t="s">
        <v>25</v>
      </c>
      <c r="C376" s="3" t="s">
        <v>1099</v>
      </c>
      <c r="D376" s="3">
        <f t="shared" si="10"/>
        <v>44871</v>
      </c>
      <c r="E376" t="s">
        <v>1170</v>
      </c>
      <c r="F376" s="4">
        <f t="shared" si="11"/>
        <v>0.22777777777777777</v>
      </c>
      <c r="G376" t="s">
        <v>68</v>
      </c>
      <c r="H376" t="s">
        <v>1171</v>
      </c>
      <c r="I376" t="s">
        <v>43</v>
      </c>
      <c r="J376" t="s">
        <v>94</v>
      </c>
      <c r="K376" t="s">
        <v>45</v>
      </c>
      <c r="L376" t="s">
        <v>674</v>
      </c>
      <c r="M376">
        <v>3</v>
      </c>
      <c r="N376">
        <v>5</v>
      </c>
      <c r="O376">
        <v>7</v>
      </c>
      <c r="P376">
        <v>2</v>
      </c>
      <c r="Q376">
        <v>5</v>
      </c>
      <c r="R376">
        <v>7</v>
      </c>
      <c r="S376" t="s">
        <v>55</v>
      </c>
      <c r="T376" t="s">
        <v>36</v>
      </c>
      <c r="U376" t="s">
        <v>37</v>
      </c>
      <c r="V376">
        <v>60</v>
      </c>
      <c r="W376" t="s">
        <v>109</v>
      </c>
      <c r="X376" t="s">
        <v>240</v>
      </c>
      <c r="Y376" t="s">
        <v>39</v>
      </c>
    </row>
    <row r="377" spans="1:25" x14ac:dyDescent="0.45">
      <c r="A377" t="s">
        <v>1172</v>
      </c>
      <c r="B377" t="s">
        <v>25</v>
      </c>
      <c r="C377" s="3" t="s">
        <v>1099</v>
      </c>
      <c r="D377" s="3">
        <f t="shared" si="10"/>
        <v>44871</v>
      </c>
      <c r="E377" t="s">
        <v>1173</v>
      </c>
      <c r="F377" s="4">
        <f t="shared" si="11"/>
        <v>0.25763888888888886</v>
      </c>
      <c r="G377" t="s">
        <v>406</v>
      </c>
      <c r="H377" t="s">
        <v>30</v>
      </c>
      <c r="I377" t="s">
        <v>31</v>
      </c>
      <c r="J377" t="s">
        <v>53</v>
      </c>
      <c r="K377" t="s">
        <v>33</v>
      </c>
      <c r="L377" t="s">
        <v>34</v>
      </c>
      <c r="M377">
        <v>5</v>
      </c>
      <c r="N377">
        <v>8</v>
      </c>
      <c r="O377">
        <v>8</v>
      </c>
      <c r="P377">
        <v>5</v>
      </c>
      <c r="Q377">
        <v>5</v>
      </c>
      <c r="R377">
        <v>6</v>
      </c>
      <c r="S377" t="s">
        <v>85</v>
      </c>
      <c r="T377" t="s">
        <v>70</v>
      </c>
      <c r="U377" t="s">
        <v>37</v>
      </c>
      <c r="V377">
        <v>25</v>
      </c>
      <c r="W377" t="s">
        <v>419</v>
      </c>
      <c r="X377" t="s">
        <v>237</v>
      </c>
      <c r="Y377" t="s">
        <v>58</v>
      </c>
    </row>
    <row r="378" spans="1:25" x14ac:dyDescent="0.45">
      <c r="A378" t="s">
        <v>1174</v>
      </c>
      <c r="B378" t="s">
        <v>25</v>
      </c>
      <c r="C378" s="3" t="s">
        <v>1099</v>
      </c>
      <c r="D378" s="3">
        <f t="shared" si="10"/>
        <v>44871</v>
      </c>
      <c r="E378" t="s">
        <v>1175</v>
      </c>
      <c r="F378" s="4">
        <f t="shared" si="11"/>
        <v>0.2590277777777778</v>
      </c>
      <c r="G378" t="s">
        <v>809</v>
      </c>
      <c r="H378" t="s">
        <v>1176</v>
      </c>
      <c r="I378" t="s">
        <v>43</v>
      </c>
      <c r="J378" t="s">
        <v>53</v>
      </c>
      <c r="K378" t="s">
        <v>113</v>
      </c>
      <c r="L378" t="s">
        <v>46</v>
      </c>
      <c r="M378">
        <v>0</v>
      </c>
      <c r="N378">
        <v>0</v>
      </c>
      <c r="O378">
        <v>1</v>
      </c>
      <c r="P378">
        <v>3</v>
      </c>
      <c r="Q378">
        <v>2</v>
      </c>
      <c r="R378">
        <v>1</v>
      </c>
      <c r="S378" t="s">
        <v>85</v>
      </c>
      <c r="T378" t="s">
        <v>56</v>
      </c>
      <c r="U378" t="s">
        <v>65</v>
      </c>
      <c r="V378">
        <v>37</v>
      </c>
      <c r="W378" t="s">
        <v>419</v>
      </c>
      <c r="X378" t="s">
        <v>240</v>
      </c>
      <c r="Y378" t="s">
        <v>648</v>
      </c>
    </row>
    <row r="379" spans="1:25" x14ac:dyDescent="0.45">
      <c r="A379" t="s">
        <v>1177</v>
      </c>
      <c r="B379" t="s">
        <v>25</v>
      </c>
      <c r="C379" s="3" t="s">
        <v>1099</v>
      </c>
      <c r="D379" s="3">
        <f t="shared" si="10"/>
        <v>44871</v>
      </c>
      <c r="E379" t="s">
        <v>1178</v>
      </c>
      <c r="F379" s="4">
        <f t="shared" si="11"/>
        <v>0.26805555555555555</v>
      </c>
      <c r="G379" t="s">
        <v>615</v>
      </c>
      <c r="H379" t="s">
        <v>30</v>
      </c>
      <c r="I379" t="s">
        <v>31</v>
      </c>
      <c r="J379" t="s">
        <v>94</v>
      </c>
      <c r="K379" t="s">
        <v>45</v>
      </c>
      <c r="L379" t="s">
        <v>34</v>
      </c>
      <c r="M379">
        <v>6</v>
      </c>
      <c r="N379">
        <v>8</v>
      </c>
      <c r="O379">
        <v>3</v>
      </c>
      <c r="P379">
        <v>4</v>
      </c>
      <c r="Q379">
        <v>5</v>
      </c>
      <c r="R379">
        <v>1</v>
      </c>
      <c r="S379" t="s">
        <v>85</v>
      </c>
      <c r="T379" t="s">
        <v>70</v>
      </c>
      <c r="U379" t="s">
        <v>65</v>
      </c>
      <c r="V379">
        <v>30</v>
      </c>
      <c r="W379" t="s">
        <v>47</v>
      </c>
      <c r="X379" t="s">
        <v>237</v>
      </c>
      <c r="Y379" t="s">
        <v>48</v>
      </c>
    </row>
    <row r="380" spans="1:25" x14ac:dyDescent="0.45">
      <c r="A380" t="s">
        <v>1179</v>
      </c>
      <c r="B380" t="s">
        <v>25</v>
      </c>
      <c r="C380" s="3" t="s">
        <v>1099</v>
      </c>
      <c r="D380" s="3">
        <f t="shared" si="10"/>
        <v>44871</v>
      </c>
      <c r="E380" t="s">
        <v>1180</v>
      </c>
      <c r="F380" s="4">
        <f t="shared" si="11"/>
        <v>0.29166666666666669</v>
      </c>
      <c r="G380" t="s">
        <v>1181</v>
      </c>
      <c r="H380" t="s">
        <v>30</v>
      </c>
      <c r="I380" t="s">
        <v>31</v>
      </c>
      <c r="J380" t="s">
        <v>53</v>
      </c>
      <c r="K380" t="s">
        <v>33</v>
      </c>
      <c r="L380" t="s">
        <v>34</v>
      </c>
      <c r="M380">
        <v>0</v>
      </c>
      <c r="N380">
        <v>1</v>
      </c>
      <c r="O380">
        <v>2</v>
      </c>
      <c r="P380">
        <v>1</v>
      </c>
      <c r="Q380">
        <v>0</v>
      </c>
      <c r="R380">
        <v>3</v>
      </c>
      <c r="S380" t="s">
        <v>85</v>
      </c>
      <c r="T380" t="s">
        <v>70</v>
      </c>
      <c r="U380" t="s">
        <v>65</v>
      </c>
      <c r="V380">
        <v>27</v>
      </c>
      <c r="W380" t="s">
        <v>419</v>
      </c>
      <c r="X380" t="s">
        <v>240</v>
      </c>
      <c r="Y380" t="s">
        <v>58</v>
      </c>
    </row>
    <row r="381" spans="1:25" x14ac:dyDescent="0.45">
      <c r="A381" t="s">
        <v>1182</v>
      </c>
      <c r="B381" t="s">
        <v>25</v>
      </c>
      <c r="C381" s="3" t="s">
        <v>1099</v>
      </c>
      <c r="D381" s="3">
        <f t="shared" si="10"/>
        <v>44871</v>
      </c>
      <c r="E381" t="s">
        <v>1183</v>
      </c>
      <c r="F381" s="4">
        <f t="shared" si="11"/>
        <v>0.29791666666666666</v>
      </c>
      <c r="G381" t="s">
        <v>122</v>
      </c>
      <c r="H381" t="s">
        <v>77</v>
      </c>
      <c r="I381" t="s">
        <v>31</v>
      </c>
      <c r="J381" t="s">
        <v>1184</v>
      </c>
      <c r="K381" t="s">
        <v>103</v>
      </c>
      <c r="L381" t="s">
        <v>46</v>
      </c>
      <c r="M381">
        <v>5</v>
      </c>
      <c r="N381">
        <v>6</v>
      </c>
      <c r="O381">
        <v>5</v>
      </c>
      <c r="P381">
        <v>5</v>
      </c>
      <c r="Q381">
        <v>6</v>
      </c>
      <c r="R381">
        <v>6</v>
      </c>
      <c r="S381" t="s">
        <v>69</v>
      </c>
      <c r="T381" t="s">
        <v>1185</v>
      </c>
      <c r="U381" t="s">
        <v>37</v>
      </c>
      <c r="V381">
        <v>31</v>
      </c>
      <c r="W381" t="s">
        <v>38</v>
      </c>
      <c r="X381" t="s">
        <v>324</v>
      </c>
      <c r="Y381" t="s">
        <v>39</v>
      </c>
    </row>
    <row r="382" spans="1:25" x14ac:dyDescent="0.45">
      <c r="A382" t="s">
        <v>1186</v>
      </c>
      <c r="B382" t="s">
        <v>25</v>
      </c>
      <c r="C382" s="3" t="s">
        <v>1099</v>
      </c>
      <c r="D382" s="3">
        <f t="shared" si="10"/>
        <v>44871</v>
      </c>
      <c r="E382" t="s">
        <v>1187</v>
      </c>
      <c r="F382" s="4">
        <f t="shared" si="11"/>
        <v>0.30208333333333331</v>
      </c>
      <c r="G382" t="s">
        <v>801</v>
      </c>
      <c r="H382" t="s">
        <v>123</v>
      </c>
      <c r="I382" t="s">
        <v>43</v>
      </c>
      <c r="J382" t="s">
        <v>53</v>
      </c>
      <c r="K382" t="s">
        <v>1188</v>
      </c>
      <c r="L382" t="s">
        <v>46</v>
      </c>
      <c r="M382">
        <v>10</v>
      </c>
      <c r="N382">
        <v>10</v>
      </c>
      <c r="O382">
        <v>10</v>
      </c>
      <c r="P382">
        <v>10</v>
      </c>
      <c r="Q382">
        <v>10</v>
      </c>
      <c r="R382">
        <v>10</v>
      </c>
      <c r="S382" t="s">
        <v>85</v>
      </c>
      <c r="T382" t="s">
        <v>56</v>
      </c>
      <c r="U382" t="s">
        <v>37</v>
      </c>
      <c r="V382">
        <v>24</v>
      </c>
      <c r="W382" t="s">
        <v>109</v>
      </c>
      <c r="X382" t="s">
        <v>240</v>
      </c>
      <c r="Y382" t="s">
        <v>48</v>
      </c>
    </row>
    <row r="383" spans="1:25" x14ac:dyDescent="0.45">
      <c r="A383" t="s">
        <v>1189</v>
      </c>
      <c r="B383" t="s">
        <v>25</v>
      </c>
      <c r="C383" s="3" t="s">
        <v>1099</v>
      </c>
      <c r="D383" s="3">
        <f t="shared" si="10"/>
        <v>44871</v>
      </c>
      <c r="E383" t="s">
        <v>1190</v>
      </c>
      <c r="F383" s="4">
        <f t="shared" si="11"/>
        <v>0.31111111111111112</v>
      </c>
      <c r="G383" t="s">
        <v>1191</v>
      </c>
      <c r="H383" t="s">
        <v>30</v>
      </c>
      <c r="I383" t="s">
        <v>43</v>
      </c>
      <c r="J383" t="s">
        <v>53</v>
      </c>
      <c r="K383" t="s">
        <v>45</v>
      </c>
      <c r="L383" t="s">
        <v>1192</v>
      </c>
      <c r="M383">
        <v>0</v>
      </c>
      <c r="N383">
        <v>6</v>
      </c>
      <c r="O383">
        <v>6</v>
      </c>
      <c r="P383">
        <v>6</v>
      </c>
      <c r="Q383">
        <v>5</v>
      </c>
      <c r="R383">
        <v>6</v>
      </c>
      <c r="S383" t="s">
        <v>85</v>
      </c>
      <c r="T383" t="s">
        <v>70</v>
      </c>
      <c r="U383" t="s">
        <v>65</v>
      </c>
      <c r="V383">
        <v>20</v>
      </c>
      <c r="W383" t="s">
        <v>38</v>
      </c>
      <c r="X383" t="s">
        <v>237</v>
      </c>
      <c r="Y383" t="s">
        <v>58</v>
      </c>
    </row>
    <row r="384" spans="1:25" x14ac:dyDescent="0.45">
      <c r="A384" t="s">
        <v>1193</v>
      </c>
      <c r="B384" t="s">
        <v>25</v>
      </c>
      <c r="C384" s="3" t="s">
        <v>1099</v>
      </c>
      <c r="D384" s="3">
        <f t="shared" si="10"/>
        <v>44871</v>
      </c>
      <c r="E384" t="s">
        <v>1194</v>
      </c>
      <c r="F384" s="4">
        <f t="shared" si="11"/>
        <v>0.31666666666666665</v>
      </c>
      <c r="G384" t="s">
        <v>1195</v>
      </c>
      <c r="H384" t="s">
        <v>1196</v>
      </c>
      <c r="I384" t="s">
        <v>43</v>
      </c>
      <c r="J384" t="s">
        <v>53</v>
      </c>
      <c r="K384" t="s">
        <v>103</v>
      </c>
      <c r="L384" t="s">
        <v>46</v>
      </c>
      <c r="M384">
        <v>2</v>
      </c>
      <c r="N384">
        <v>1</v>
      </c>
      <c r="O384">
        <v>4</v>
      </c>
      <c r="P384">
        <v>1</v>
      </c>
      <c r="Q384">
        <v>1</v>
      </c>
      <c r="R384">
        <v>1</v>
      </c>
      <c r="S384" t="s">
        <v>55</v>
      </c>
      <c r="T384" t="s">
        <v>56</v>
      </c>
      <c r="U384" t="s">
        <v>37</v>
      </c>
      <c r="V384">
        <v>24</v>
      </c>
      <c r="W384" t="s">
        <v>147</v>
      </c>
      <c r="X384" t="s">
        <v>237</v>
      </c>
      <c r="Y384" t="s">
        <v>48</v>
      </c>
    </row>
    <row r="385" spans="1:25" x14ac:dyDescent="0.45">
      <c r="A385" t="s">
        <v>1197</v>
      </c>
      <c r="B385" t="s">
        <v>25</v>
      </c>
      <c r="C385" s="3" t="s">
        <v>1099</v>
      </c>
      <c r="D385" s="3">
        <f t="shared" si="10"/>
        <v>44871</v>
      </c>
      <c r="E385" t="s">
        <v>1198</v>
      </c>
      <c r="F385" s="4">
        <f t="shared" si="11"/>
        <v>0.31736111111111109</v>
      </c>
      <c r="G385" t="s">
        <v>317</v>
      </c>
      <c r="H385" t="s">
        <v>123</v>
      </c>
      <c r="I385" t="s">
        <v>31</v>
      </c>
      <c r="J385" t="s">
        <v>53</v>
      </c>
      <c r="K385" t="s">
        <v>491</v>
      </c>
      <c r="L385" t="s">
        <v>46</v>
      </c>
      <c r="M385">
        <v>3</v>
      </c>
      <c r="N385">
        <v>6</v>
      </c>
      <c r="O385">
        <v>7</v>
      </c>
      <c r="P385">
        <v>6</v>
      </c>
      <c r="Q385">
        <v>4</v>
      </c>
      <c r="R385">
        <v>4</v>
      </c>
      <c r="S385" t="s">
        <v>85</v>
      </c>
      <c r="T385" t="s">
        <v>56</v>
      </c>
      <c r="U385" t="s">
        <v>37</v>
      </c>
      <c r="V385">
        <v>24</v>
      </c>
      <c r="W385" t="s">
        <v>709</v>
      </c>
      <c r="X385" t="s">
        <v>237</v>
      </c>
      <c r="Y385" t="s">
        <v>39</v>
      </c>
    </row>
    <row r="386" spans="1:25" x14ac:dyDescent="0.45">
      <c r="A386" t="s">
        <v>1199</v>
      </c>
      <c r="B386" t="s">
        <v>25</v>
      </c>
      <c r="C386" s="3" t="s">
        <v>1099</v>
      </c>
      <c r="D386" s="3">
        <f t="shared" si="10"/>
        <v>44871</v>
      </c>
      <c r="E386" t="s">
        <v>1200</v>
      </c>
      <c r="F386" s="4">
        <f t="shared" si="11"/>
        <v>0.31805555555555554</v>
      </c>
      <c r="G386" t="s">
        <v>42</v>
      </c>
      <c r="H386" t="s">
        <v>123</v>
      </c>
      <c r="I386" t="s">
        <v>43</v>
      </c>
      <c r="J386" t="s">
        <v>53</v>
      </c>
      <c r="K386" t="s">
        <v>1201</v>
      </c>
      <c r="L386" t="s">
        <v>46</v>
      </c>
      <c r="M386">
        <v>0</v>
      </c>
      <c r="N386">
        <v>1</v>
      </c>
      <c r="O386">
        <v>3</v>
      </c>
      <c r="P386">
        <v>0</v>
      </c>
      <c r="Q386">
        <v>0</v>
      </c>
      <c r="R386">
        <v>0</v>
      </c>
      <c r="S386" t="s">
        <v>85</v>
      </c>
      <c r="T386" t="s">
        <v>56</v>
      </c>
      <c r="U386" t="s">
        <v>37</v>
      </c>
      <c r="V386">
        <v>41</v>
      </c>
      <c r="W386" t="s">
        <v>207</v>
      </c>
      <c r="X386" t="s">
        <v>237</v>
      </c>
      <c r="Y386" t="s">
        <v>91</v>
      </c>
    </row>
    <row r="387" spans="1:25" x14ac:dyDescent="0.45">
      <c r="A387" t="s">
        <v>1202</v>
      </c>
      <c r="B387" t="s">
        <v>25</v>
      </c>
      <c r="C387" s="3" t="s">
        <v>1099</v>
      </c>
      <c r="D387" s="3">
        <f t="shared" ref="D387:D450" si="12">DATEVALUE(C387)</f>
        <v>44871</v>
      </c>
      <c r="E387" t="s">
        <v>1203</v>
      </c>
      <c r="F387" s="4">
        <f t="shared" ref="F387:F450" si="13">TIMEVALUE(E387)</f>
        <v>0.31944444444444442</v>
      </c>
      <c r="G387" t="s">
        <v>1080</v>
      </c>
      <c r="H387" t="s">
        <v>30</v>
      </c>
      <c r="I387" t="s">
        <v>31</v>
      </c>
      <c r="J387" t="s">
        <v>87</v>
      </c>
      <c r="K387" t="s">
        <v>103</v>
      </c>
      <c r="L387" t="s">
        <v>46</v>
      </c>
      <c r="M387">
        <v>8</v>
      </c>
      <c r="N387">
        <v>8</v>
      </c>
      <c r="O387">
        <v>8</v>
      </c>
      <c r="P387">
        <v>8</v>
      </c>
      <c r="Q387">
        <v>8</v>
      </c>
      <c r="R387">
        <v>8</v>
      </c>
      <c r="S387" t="s">
        <v>69</v>
      </c>
      <c r="T387" t="s">
        <v>70</v>
      </c>
      <c r="U387" t="s">
        <v>37</v>
      </c>
      <c r="V387">
        <v>41</v>
      </c>
      <c r="W387" t="s">
        <v>38</v>
      </c>
      <c r="X387" t="s">
        <v>237</v>
      </c>
      <c r="Y387" t="s">
        <v>39</v>
      </c>
    </row>
    <row r="388" spans="1:25" x14ac:dyDescent="0.45">
      <c r="A388" t="s">
        <v>1204</v>
      </c>
      <c r="B388" t="s">
        <v>25</v>
      </c>
      <c r="C388" s="3" t="s">
        <v>1099</v>
      </c>
      <c r="D388" s="3">
        <f t="shared" si="12"/>
        <v>44871</v>
      </c>
      <c r="E388" t="s">
        <v>1205</v>
      </c>
      <c r="F388" s="4">
        <f t="shared" si="13"/>
        <v>0.33819444444444446</v>
      </c>
      <c r="G388" t="s">
        <v>196</v>
      </c>
      <c r="H388" t="s">
        <v>1206</v>
      </c>
      <c r="I388" t="s">
        <v>43</v>
      </c>
      <c r="J388" t="s">
        <v>63</v>
      </c>
      <c r="K388" t="s">
        <v>83</v>
      </c>
      <c r="L388" t="s">
        <v>34</v>
      </c>
      <c r="M388">
        <v>9</v>
      </c>
      <c r="N388">
        <v>8</v>
      </c>
      <c r="O388">
        <v>9</v>
      </c>
      <c r="P388">
        <v>10</v>
      </c>
      <c r="Q388">
        <v>8</v>
      </c>
      <c r="R388">
        <v>10</v>
      </c>
      <c r="S388" t="s">
        <v>85</v>
      </c>
      <c r="T388" t="s">
        <v>114</v>
      </c>
      <c r="U388" t="s">
        <v>37</v>
      </c>
      <c r="V388">
        <v>43</v>
      </c>
      <c r="W388" t="s">
        <v>38</v>
      </c>
      <c r="X388" t="s">
        <v>237</v>
      </c>
      <c r="Y388" t="s">
        <v>39</v>
      </c>
    </row>
    <row r="389" spans="1:25" x14ac:dyDescent="0.45">
      <c r="A389" t="s">
        <v>1207</v>
      </c>
      <c r="B389" t="s">
        <v>25</v>
      </c>
      <c r="C389" s="3" t="s">
        <v>1099</v>
      </c>
      <c r="D389" s="3">
        <f t="shared" si="12"/>
        <v>44871</v>
      </c>
      <c r="E389" t="s">
        <v>1208</v>
      </c>
      <c r="F389" s="4">
        <f t="shared" si="13"/>
        <v>0.33958333333333335</v>
      </c>
      <c r="G389" t="s">
        <v>1209</v>
      </c>
      <c r="H389" t="s">
        <v>30</v>
      </c>
      <c r="I389" t="s">
        <v>43</v>
      </c>
      <c r="J389" t="s">
        <v>94</v>
      </c>
      <c r="K389" t="s">
        <v>33</v>
      </c>
      <c r="L389" t="s">
        <v>34</v>
      </c>
      <c r="M389">
        <v>7</v>
      </c>
      <c r="N389">
        <v>7</v>
      </c>
      <c r="O389">
        <v>8</v>
      </c>
      <c r="P389">
        <v>4</v>
      </c>
      <c r="Q389">
        <v>6</v>
      </c>
      <c r="R389">
        <v>9</v>
      </c>
      <c r="S389" t="s">
        <v>55</v>
      </c>
      <c r="T389" t="s">
        <v>36</v>
      </c>
      <c r="U389" t="s">
        <v>65</v>
      </c>
      <c r="V389">
        <v>38</v>
      </c>
      <c r="W389" t="s">
        <v>38</v>
      </c>
      <c r="X389" t="s">
        <v>237</v>
      </c>
      <c r="Y389" t="s">
        <v>39</v>
      </c>
    </row>
    <row r="390" spans="1:25" x14ac:dyDescent="0.45">
      <c r="A390" t="s">
        <v>1210</v>
      </c>
      <c r="B390" t="s">
        <v>25</v>
      </c>
      <c r="C390" s="3" t="s">
        <v>1099</v>
      </c>
      <c r="D390" s="3">
        <f t="shared" si="12"/>
        <v>44871</v>
      </c>
      <c r="E390" t="s">
        <v>1211</v>
      </c>
      <c r="F390" s="4">
        <f t="shared" si="13"/>
        <v>0.34305555555555556</v>
      </c>
      <c r="G390" t="s">
        <v>1209</v>
      </c>
      <c r="H390" t="s">
        <v>30</v>
      </c>
      <c r="I390" t="s">
        <v>31</v>
      </c>
      <c r="J390" t="s">
        <v>53</v>
      </c>
      <c r="K390" t="s">
        <v>83</v>
      </c>
      <c r="L390" t="s">
        <v>34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6</v>
      </c>
      <c r="S390" t="s">
        <v>85</v>
      </c>
      <c r="T390" t="s">
        <v>70</v>
      </c>
      <c r="U390" t="s">
        <v>65</v>
      </c>
      <c r="V390">
        <v>28</v>
      </c>
      <c r="W390" t="s">
        <v>739</v>
      </c>
      <c r="X390" t="s">
        <v>237</v>
      </c>
      <c r="Y390" t="s">
        <v>48</v>
      </c>
    </row>
    <row r="391" spans="1:25" x14ac:dyDescent="0.45">
      <c r="A391" t="s">
        <v>1212</v>
      </c>
      <c r="B391" t="s">
        <v>25</v>
      </c>
      <c r="C391" s="3" t="s">
        <v>1099</v>
      </c>
      <c r="D391" s="3">
        <f t="shared" si="12"/>
        <v>44871</v>
      </c>
      <c r="E391" t="s">
        <v>1213</v>
      </c>
      <c r="F391" s="4">
        <f t="shared" si="13"/>
        <v>0.34583333333333333</v>
      </c>
      <c r="G391" t="s">
        <v>42</v>
      </c>
      <c r="H391" t="s">
        <v>30</v>
      </c>
      <c r="I391" t="s">
        <v>31</v>
      </c>
      <c r="J391" t="s">
        <v>87</v>
      </c>
      <c r="K391" t="s">
        <v>33</v>
      </c>
      <c r="L391" t="s">
        <v>34</v>
      </c>
      <c r="M391">
        <v>10</v>
      </c>
      <c r="N391">
        <v>8</v>
      </c>
      <c r="O391">
        <v>6</v>
      </c>
      <c r="P391">
        <v>10</v>
      </c>
      <c r="Q391">
        <v>7</v>
      </c>
      <c r="R391">
        <v>5</v>
      </c>
      <c r="S391" t="s">
        <v>85</v>
      </c>
      <c r="T391" t="s">
        <v>114</v>
      </c>
      <c r="U391" t="s">
        <v>65</v>
      </c>
      <c r="V391">
        <v>31</v>
      </c>
      <c r="W391" t="s">
        <v>267</v>
      </c>
      <c r="X391" t="s">
        <v>237</v>
      </c>
      <c r="Y391" t="s">
        <v>91</v>
      </c>
    </row>
    <row r="392" spans="1:25" x14ac:dyDescent="0.45">
      <c r="A392" t="s">
        <v>1214</v>
      </c>
      <c r="B392" t="s">
        <v>25</v>
      </c>
      <c r="C392" s="3" t="s">
        <v>1099</v>
      </c>
      <c r="D392" s="3">
        <f t="shared" si="12"/>
        <v>44871</v>
      </c>
      <c r="E392" t="s">
        <v>1215</v>
      </c>
      <c r="F392" s="4">
        <f t="shared" si="13"/>
        <v>0.35833333333333334</v>
      </c>
      <c r="G392" t="s">
        <v>615</v>
      </c>
      <c r="H392" t="s">
        <v>30</v>
      </c>
      <c r="I392" t="s">
        <v>31</v>
      </c>
      <c r="J392" t="s">
        <v>87</v>
      </c>
      <c r="K392" t="s">
        <v>486</v>
      </c>
      <c r="L392" t="s">
        <v>883</v>
      </c>
      <c r="M392">
        <v>8</v>
      </c>
      <c r="N392">
        <v>7</v>
      </c>
      <c r="O392">
        <v>8</v>
      </c>
      <c r="P392">
        <v>6</v>
      </c>
      <c r="Q392">
        <v>7</v>
      </c>
      <c r="R392">
        <v>8</v>
      </c>
      <c r="S392" t="s">
        <v>69</v>
      </c>
      <c r="T392" t="s">
        <v>56</v>
      </c>
      <c r="U392" t="s">
        <v>65</v>
      </c>
      <c r="V392">
        <v>28</v>
      </c>
      <c r="W392" t="s">
        <v>38</v>
      </c>
      <c r="X392" t="s">
        <v>240</v>
      </c>
      <c r="Y392" t="s">
        <v>39</v>
      </c>
    </row>
    <row r="393" spans="1:25" x14ac:dyDescent="0.45">
      <c r="A393" t="s">
        <v>1216</v>
      </c>
      <c r="B393" t="s">
        <v>25</v>
      </c>
      <c r="C393" s="3" t="s">
        <v>1099</v>
      </c>
      <c r="D393" s="3">
        <f t="shared" si="12"/>
        <v>44871</v>
      </c>
      <c r="E393" t="s">
        <v>27</v>
      </c>
      <c r="F393" s="4">
        <f t="shared" si="13"/>
        <v>0.35972222222222222</v>
      </c>
      <c r="G393" t="s">
        <v>107</v>
      </c>
      <c r="H393" t="s">
        <v>30</v>
      </c>
      <c r="I393" t="s">
        <v>43</v>
      </c>
      <c r="J393" t="s">
        <v>44</v>
      </c>
      <c r="K393" t="s">
        <v>33</v>
      </c>
      <c r="L393" t="s">
        <v>257</v>
      </c>
      <c r="M393">
        <v>7</v>
      </c>
      <c r="N393">
        <v>8</v>
      </c>
      <c r="O393">
        <v>9</v>
      </c>
      <c r="P393">
        <v>9</v>
      </c>
      <c r="Q393">
        <v>4</v>
      </c>
      <c r="R393">
        <v>9</v>
      </c>
      <c r="S393" t="s">
        <v>55</v>
      </c>
      <c r="T393" t="s">
        <v>36</v>
      </c>
      <c r="U393" t="s">
        <v>37</v>
      </c>
      <c r="V393">
        <v>23</v>
      </c>
      <c r="W393" t="s">
        <v>38</v>
      </c>
      <c r="X393" t="s">
        <v>240</v>
      </c>
      <c r="Y393" t="s">
        <v>48</v>
      </c>
    </row>
    <row r="394" spans="1:25" x14ac:dyDescent="0.45">
      <c r="A394" t="s">
        <v>1217</v>
      </c>
      <c r="B394" t="s">
        <v>25</v>
      </c>
      <c r="C394" s="3" t="s">
        <v>1099</v>
      </c>
      <c r="D394" s="3">
        <f t="shared" si="12"/>
        <v>44871</v>
      </c>
      <c r="E394" t="s">
        <v>41</v>
      </c>
      <c r="F394" s="4">
        <f t="shared" si="13"/>
        <v>0.3611111111111111</v>
      </c>
      <c r="G394" t="s">
        <v>141</v>
      </c>
      <c r="H394" t="s">
        <v>30</v>
      </c>
      <c r="I394" t="s">
        <v>43</v>
      </c>
      <c r="J394" t="s">
        <v>44</v>
      </c>
      <c r="K394" t="s">
        <v>1218</v>
      </c>
      <c r="L394" t="s">
        <v>34</v>
      </c>
      <c r="M394">
        <v>5</v>
      </c>
      <c r="N394">
        <v>5</v>
      </c>
      <c r="O394">
        <v>4</v>
      </c>
      <c r="P394">
        <v>5</v>
      </c>
      <c r="Q394">
        <v>6</v>
      </c>
      <c r="R394">
        <v>6</v>
      </c>
      <c r="S394" t="s">
        <v>85</v>
      </c>
      <c r="T394" t="s">
        <v>70</v>
      </c>
      <c r="U394" t="s">
        <v>37</v>
      </c>
      <c r="V394">
        <v>25</v>
      </c>
      <c r="W394" t="s">
        <v>109</v>
      </c>
      <c r="X394" t="s">
        <v>237</v>
      </c>
      <c r="Y394" t="s">
        <v>58</v>
      </c>
    </row>
    <row r="395" spans="1:25" x14ac:dyDescent="0.45">
      <c r="A395" t="s">
        <v>1219</v>
      </c>
      <c r="B395" t="s">
        <v>25</v>
      </c>
      <c r="C395" s="3" t="s">
        <v>1099</v>
      </c>
      <c r="D395" s="3">
        <f t="shared" si="12"/>
        <v>44871</v>
      </c>
      <c r="E395" t="s">
        <v>41</v>
      </c>
      <c r="F395" s="4">
        <f t="shared" si="13"/>
        <v>0.3611111111111111</v>
      </c>
      <c r="G395" t="s">
        <v>344</v>
      </c>
      <c r="H395" t="s">
        <v>1220</v>
      </c>
      <c r="I395" t="s">
        <v>43</v>
      </c>
      <c r="J395" t="s">
        <v>53</v>
      </c>
      <c r="K395" t="s">
        <v>103</v>
      </c>
      <c r="L395" t="s">
        <v>46</v>
      </c>
      <c r="M395">
        <v>2</v>
      </c>
      <c r="N395">
        <v>5</v>
      </c>
      <c r="O395">
        <v>2</v>
      </c>
      <c r="P395">
        <v>8</v>
      </c>
      <c r="Q395">
        <v>9</v>
      </c>
      <c r="R395">
        <v>10</v>
      </c>
      <c r="S395" t="s">
        <v>69</v>
      </c>
      <c r="T395" t="s">
        <v>36</v>
      </c>
      <c r="U395" t="s">
        <v>37</v>
      </c>
      <c r="V395">
        <v>26</v>
      </c>
      <c r="W395" t="s">
        <v>500</v>
      </c>
      <c r="X395" t="s">
        <v>240</v>
      </c>
      <c r="Y395" t="s">
        <v>39</v>
      </c>
    </row>
    <row r="396" spans="1:25" x14ac:dyDescent="0.45">
      <c r="A396" t="s">
        <v>1221</v>
      </c>
      <c r="B396" t="s">
        <v>25</v>
      </c>
      <c r="C396" s="3" t="s">
        <v>1099</v>
      </c>
      <c r="D396" s="3">
        <f t="shared" si="12"/>
        <v>44871</v>
      </c>
      <c r="E396" t="s">
        <v>50</v>
      </c>
      <c r="F396" s="4">
        <f t="shared" si="13"/>
        <v>0.36249999999999999</v>
      </c>
      <c r="G396" t="s">
        <v>116</v>
      </c>
      <c r="H396" t="s">
        <v>77</v>
      </c>
      <c r="I396" t="s">
        <v>31</v>
      </c>
      <c r="J396" t="s">
        <v>82</v>
      </c>
      <c r="K396" t="s">
        <v>45</v>
      </c>
      <c r="L396" t="s">
        <v>34</v>
      </c>
      <c r="M396">
        <v>9</v>
      </c>
      <c r="N396">
        <v>4</v>
      </c>
      <c r="O396">
        <v>8</v>
      </c>
      <c r="P396">
        <v>7</v>
      </c>
      <c r="Q396">
        <v>5</v>
      </c>
      <c r="R396">
        <v>6</v>
      </c>
      <c r="S396" t="s">
        <v>69</v>
      </c>
      <c r="T396" t="s">
        <v>56</v>
      </c>
      <c r="U396" t="s">
        <v>37</v>
      </c>
      <c r="V396">
        <v>35</v>
      </c>
      <c r="W396" t="s">
        <v>38</v>
      </c>
      <c r="X396" t="s">
        <v>237</v>
      </c>
      <c r="Y396" t="s">
        <v>39</v>
      </c>
    </row>
    <row r="397" spans="1:25" x14ac:dyDescent="0.45">
      <c r="A397" t="s">
        <v>1222</v>
      </c>
      <c r="B397" t="s">
        <v>25</v>
      </c>
      <c r="C397" s="3" t="s">
        <v>1099</v>
      </c>
      <c r="D397" s="3">
        <f t="shared" si="12"/>
        <v>44871</v>
      </c>
      <c r="E397" t="s">
        <v>149</v>
      </c>
      <c r="F397" s="4">
        <f t="shared" si="13"/>
        <v>0.36944444444444446</v>
      </c>
      <c r="G397" t="s">
        <v>822</v>
      </c>
      <c r="H397" t="s">
        <v>30</v>
      </c>
      <c r="I397" t="s">
        <v>31</v>
      </c>
      <c r="J397" t="s">
        <v>32</v>
      </c>
      <c r="K397" t="s">
        <v>83</v>
      </c>
      <c r="L397" t="s">
        <v>46</v>
      </c>
      <c r="M397">
        <v>8</v>
      </c>
      <c r="N397">
        <v>9</v>
      </c>
      <c r="O397">
        <v>9</v>
      </c>
      <c r="P397">
        <v>7</v>
      </c>
      <c r="Q397">
        <v>8</v>
      </c>
      <c r="R397">
        <v>8</v>
      </c>
      <c r="S397" t="s">
        <v>85</v>
      </c>
      <c r="T397" t="s">
        <v>36</v>
      </c>
      <c r="U397" t="s">
        <v>37</v>
      </c>
      <c r="V397">
        <v>30</v>
      </c>
      <c r="W397" t="s">
        <v>337</v>
      </c>
      <c r="X397" t="s">
        <v>240</v>
      </c>
      <c r="Y397" t="s">
        <v>39</v>
      </c>
    </row>
    <row r="398" spans="1:25" x14ac:dyDescent="0.45">
      <c r="A398" t="s">
        <v>1223</v>
      </c>
      <c r="B398" t="s">
        <v>25</v>
      </c>
      <c r="C398" s="3" t="s">
        <v>1099</v>
      </c>
      <c r="D398" s="3">
        <f t="shared" si="12"/>
        <v>44871</v>
      </c>
      <c r="E398" t="s">
        <v>214</v>
      </c>
      <c r="F398" s="4">
        <f t="shared" si="13"/>
        <v>0.37430555555555556</v>
      </c>
      <c r="G398" t="s">
        <v>165</v>
      </c>
      <c r="H398" t="s">
        <v>30</v>
      </c>
      <c r="I398" t="s">
        <v>31</v>
      </c>
      <c r="J398" t="s">
        <v>87</v>
      </c>
      <c r="K398" t="s">
        <v>103</v>
      </c>
      <c r="L398" t="s">
        <v>46</v>
      </c>
      <c r="M398">
        <v>3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85</v>
      </c>
      <c r="T398" t="s">
        <v>70</v>
      </c>
      <c r="U398" t="s">
        <v>37</v>
      </c>
      <c r="V398">
        <v>35</v>
      </c>
      <c r="W398" t="s">
        <v>109</v>
      </c>
      <c r="X398" t="s">
        <v>237</v>
      </c>
      <c r="Y398" t="s">
        <v>39</v>
      </c>
    </row>
    <row r="399" spans="1:25" x14ac:dyDescent="0.45">
      <c r="A399" t="s">
        <v>1224</v>
      </c>
      <c r="B399" t="s">
        <v>25</v>
      </c>
      <c r="C399" s="3" t="s">
        <v>1099</v>
      </c>
      <c r="D399" s="3">
        <f t="shared" si="12"/>
        <v>44871</v>
      </c>
      <c r="E399" t="s">
        <v>223</v>
      </c>
      <c r="F399" s="4">
        <f t="shared" si="13"/>
        <v>0.37638888888888888</v>
      </c>
      <c r="G399" t="s">
        <v>1225</v>
      </c>
      <c r="H399" t="s">
        <v>30</v>
      </c>
      <c r="I399" t="s">
        <v>31</v>
      </c>
      <c r="J399" t="s">
        <v>53</v>
      </c>
      <c r="K399" t="s">
        <v>90</v>
      </c>
      <c r="L399" t="s">
        <v>34</v>
      </c>
      <c r="M399">
        <v>0</v>
      </c>
      <c r="N399">
        <v>8</v>
      </c>
      <c r="O399">
        <v>5</v>
      </c>
      <c r="P399">
        <v>5</v>
      </c>
      <c r="Q399">
        <v>2</v>
      </c>
      <c r="R399">
        <v>2</v>
      </c>
      <c r="S399" t="s">
        <v>55</v>
      </c>
      <c r="T399" t="s">
        <v>70</v>
      </c>
      <c r="U399" t="s">
        <v>37</v>
      </c>
      <c r="V399">
        <v>28</v>
      </c>
      <c r="W399" t="s">
        <v>1110</v>
      </c>
      <c r="X399" t="s">
        <v>237</v>
      </c>
      <c r="Y399" t="s">
        <v>91</v>
      </c>
    </row>
    <row r="400" spans="1:25" x14ac:dyDescent="0.45">
      <c r="A400" t="s">
        <v>1226</v>
      </c>
      <c r="B400" t="s">
        <v>25</v>
      </c>
      <c r="C400" s="3" t="s">
        <v>1099</v>
      </c>
      <c r="D400" s="3">
        <f t="shared" si="12"/>
        <v>44871</v>
      </c>
      <c r="E400" t="s">
        <v>303</v>
      </c>
      <c r="F400" s="4">
        <f t="shared" si="13"/>
        <v>0.38680555555555557</v>
      </c>
      <c r="G400" t="s">
        <v>646</v>
      </c>
      <c r="H400" t="s">
        <v>123</v>
      </c>
      <c r="I400" t="s">
        <v>43</v>
      </c>
      <c r="J400" t="s">
        <v>53</v>
      </c>
      <c r="K400" t="s">
        <v>103</v>
      </c>
      <c r="L400" t="s">
        <v>34</v>
      </c>
      <c r="M400">
        <v>0</v>
      </c>
      <c r="N400">
        <v>2</v>
      </c>
      <c r="O400">
        <v>3</v>
      </c>
      <c r="P400">
        <v>3</v>
      </c>
      <c r="Q400">
        <v>2</v>
      </c>
      <c r="R400">
        <v>3</v>
      </c>
      <c r="S400" t="s">
        <v>55</v>
      </c>
      <c r="T400" t="s">
        <v>56</v>
      </c>
      <c r="U400" t="s">
        <v>65</v>
      </c>
      <c r="V400">
        <v>24</v>
      </c>
      <c r="W400" t="s">
        <v>57</v>
      </c>
      <c r="X400" t="s">
        <v>237</v>
      </c>
      <c r="Y400" t="s">
        <v>58</v>
      </c>
    </row>
    <row r="401" spans="1:25" x14ac:dyDescent="0.45">
      <c r="A401" t="s">
        <v>1227</v>
      </c>
      <c r="B401" t="s">
        <v>25</v>
      </c>
      <c r="C401" s="3" t="s">
        <v>1099</v>
      </c>
      <c r="D401" s="3">
        <f t="shared" si="12"/>
        <v>44871</v>
      </c>
      <c r="E401" t="s">
        <v>411</v>
      </c>
      <c r="F401" s="4">
        <f t="shared" si="13"/>
        <v>0.40277777777777779</v>
      </c>
      <c r="G401" t="s">
        <v>1228</v>
      </c>
      <c r="H401" t="s">
        <v>30</v>
      </c>
      <c r="I401" t="s">
        <v>31</v>
      </c>
      <c r="J401" t="s">
        <v>44</v>
      </c>
      <c r="K401" t="s">
        <v>103</v>
      </c>
      <c r="L401" t="s">
        <v>34</v>
      </c>
      <c r="M401">
        <v>8</v>
      </c>
      <c r="N401">
        <v>10</v>
      </c>
      <c r="O401">
        <v>7</v>
      </c>
      <c r="P401">
        <v>5</v>
      </c>
      <c r="Q401">
        <v>6</v>
      </c>
      <c r="R401">
        <v>5</v>
      </c>
      <c r="S401" t="s">
        <v>85</v>
      </c>
      <c r="T401" t="s">
        <v>114</v>
      </c>
      <c r="U401" t="s">
        <v>65</v>
      </c>
      <c r="V401">
        <v>34</v>
      </c>
      <c r="W401" t="s">
        <v>38</v>
      </c>
      <c r="X401" t="s">
        <v>237</v>
      </c>
      <c r="Y401" t="s">
        <v>39</v>
      </c>
    </row>
    <row r="402" spans="1:25" x14ac:dyDescent="0.45">
      <c r="A402" t="s">
        <v>1229</v>
      </c>
      <c r="B402" t="s">
        <v>25</v>
      </c>
      <c r="C402" s="3" t="s">
        <v>1099</v>
      </c>
      <c r="D402" s="3">
        <f t="shared" si="12"/>
        <v>44871</v>
      </c>
      <c r="E402" t="s">
        <v>1230</v>
      </c>
      <c r="F402" s="4">
        <f t="shared" si="13"/>
        <v>0.41111111111111109</v>
      </c>
      <c r="G402" t="s">
        <v>196</v>
      </c>
      <c r="H402" t="s">
        <v>30</v>
      </c>
      <c r="I402" t="s">
        <v>31</v>
      </c>
      <c r="J402" t="s">
        <v>44</v>
      </c>
      <c r="K402" t="s">
        <v>103</v>
      </c>
      <c r="L402" t="s">
        <v>34</v>
      </c>
      <c r="M402">
        <v>3</v>
      </c>
      <c r="N402">
        <v>5</v>
      </c>
      <c r="O402">
        <v>4</v>
      </c>
      <c r="P402">
        <v>5</v>
      </c>
      <c r="Q402">
        <v>3</v>
      </c>
      <c r="R402">
        <v>6</v>
      </c>
      <c r="S402" t="s">
        <v>85</v>
      </c>
      <c r="T402" t="s">
        <v>56</v>
      </c>
      <c r="U402" t="s">
        <v>65</v>
      </c>
      <c r="V402">
        <v>31</v>
      </c>
      <c r="W402" t="s">
        <v>267</v>
      </c>
      <c r="X402" t="s">
        <v>240</v>
      </c>
      <c r="Y402" t="s">
        <v>39</v>
      </c>
    </row>
    <row r="403" spans="1:25" x14ac:dyDescent="0.45">
      <c r="A403" t="s">
        <v>1231</v>
      </c>
      <c r="B403" t="s">
        <v>25</v>
      </c>
      <c r="C403" s="3" t="s">
        <v>1099</v>
      </c>
      <c r="D403" s="3">
        <f t="shared" si="12"/>
        <v>44871</v>
      </c>
      <c r="E403" t="s">
        <v>1232</v>
      </c>
      <c r="F403" s="4">
        <f t="shared" si="13"/>
        <v>0.41180555555555554</v>
      </c>
      <c r="G403" t="s">
        <v>119</v>
      </c>
      <c r="H403" t="s">
        <v>30</v>
      </c>
      <c r="I403" t="s">
        <v>31</v>
      </c>
      <c r="J403" t="s">
        <v>53</v>
      </c>
      <c r="K403" t="s">
        <v>103</v>
      </c>
      <c r="L403" t="s">
        <v>34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69</v>
      </c>
      <c r="T403" t="s">
        <v>56</v>
      </c>
      <c r="U403" t="s">
        <v>37</v>
      </c>
      <c r="V403">
        <v>30</v>
      </c>
      <c r="W403" t="s">
        <v>109</v>
      </c>
      <c r="X403" t="s">
        <v>240</v>
      </c>
      <c r="Y403" t="s">
        <v>48</v>
      </c>
    </row>
    <row r="404" spans="1:25" x14ac:dyDescent="0.45">
      <c r="A404" t="s">
        <v>1233</v>
      </c>
      <c r="B404" t="s">
        <v>25</v>
      </c>
      <c r="C404" s="3" t="s">
        <v>1099</v>
      </c>
      <c r="D404" s="3">
        <f t="shared" si="12"/>
        <v>44871</v>
      </c>
      <c r="E404" t="s">
        <v>1232</v>
      </c>
      <c r="F404" s="4">
        <f t="shared" si="13"/>
        <v>0.41180555555555554</v>
      </c>
      <c r="G404" t="s">
        <v>297</v>
      </c>
      <c r="H404" t="s">
        <v>52</v>
      </c>
      <c r="I404" t="s">
        <v>31</v>
      </c>
      <c r="J404" t="s">
        <v>87</v>
      </c>
      <c r="K404" t="s">
        <v>95</v>
      </c>
      <c r="L404" t="s">
        <v>204</v>
      </c>
      <c r="M404">
        <v>4</v>
      </c>
      <c r="N404">
        <v>4</v>
      </c>
      <c r="O404">
        <v>1</v>
      </c>
      <c r="P404">
        <v>6</v>
      </c>
      <c r="Q404">
        <v>1</v>
      </c>
      <c r="R404">
        <v>5</v>
      </c>
      <c r="S404" t="s">
        <v>69</v>
      </c>
      <c r="T404" t="s">
        <v>70</v>
      </c>
      <c r="U404" t="s">
        <v>37</v>
      </c>
      <c r="V404">
        <v>40</v>
      </c>
      <c r="W404" t="s">
        <v>109</v>
      </c>
      <c r="X404" t="s">
        <v>237</v>
      </c>
      <c r="Y404" t="s">
        <v>39</v>
      </c>
    </row>
    <row r="405" spans="1:25" x14ac:dyDescent="0.45">
      <c r="A405" t="s">
        <v>1234</v>
      </c>
      <c r="B405" t="s">
        <v>25</v>
      </c>
      <c r="C405" s="3" t="s">
        <v>1099</v>
      </c>
      <c r="D405" s="3">
        <f t="shared" si="12"/>
        <v>44871</v>
      </c>
      <c r="E405" t="s">
        <v>1235</v>
      </c>
      <c r="F405" s="4">
        <f t="shared" si="13"/>
        <v>0.41666666666666669</v>
      </c>
      <c r="G405" t="s">
        <v>371</v>
      </c>
      <c r="H405" t="s">
        <v>30</v>
      </c>
      <c r="I405" t="s">
        <v>43</v>
      </c>
      <c r="J405" t="s">
        <v>44</v>
      </c>
      <c r="K405" t="s">
        <v>393</v>
      </c>
      <c r="L405" t="s">
        <v>46</v>
      </c>
      <c r="M405">
        <v>4</v>
      </c>
      <c r="N405">
        <v>10</v>
      </c>
      <c r="O405">
        <v>10</v>
      </c>
      <c r="P405">
        <v>10</v>
      </c>
      <c r="Q405">
        <v>8</v>
      </c>
      <c r="R405">
        <v>6</v>
      </c>
      <c r="S405" t="s">
        <v>35</v>
      </c>
      <c r="T405" t="s">
        <v>70</v>
      </c>
      <c r="U405" t="s">
        <v>37</v>
      </c>
      <c r="V405">
        <v>26</v>
      </c>
      <c r="W405" t="s">
        <v>38</v>
      </c>
      <c r="X405" t="s">
        <v>237</v>
      </c>
      <c r="Y405" t="s">
        <v>91</v>
      </c>
    </row>
    <row r="406" spans="1:25" x14ac:dyDescent="0.45">
      <c r="A406" t="s">
        <v>1236</v>
      </c>
      <c r="B406" t="s">
        <v>25</v>
      </c>
      <c r="C406" s="3" t="s">
        <v>1099</v>
      </c>
      <c r="D406" s="3">
        <f t="shared" si="12"/>
        <v>44871</v>
      </c>
      <c r="E406" t="s">
        <v>506</v>
      </c>
      <c r="F406" s="4">
        <f t="shared" si="13"/>
        <v>0.42777777777777776</v>
      </c>
      <c r="G406" t="s">
        <v>1237</v>
      </c>
      <c r="H406" t="s">
        <v>30</v>
      </c>
      <c r="I406" t="s">
        <v>43</v>
      </c>
      <c r="J406" t="s">
        <v>82</v>
      </c>
      <c r="K406" t="s">
        <v>33</v>
      </c>
      <c r="L406" t="s">
        <v>46</v>
      </c>
      <c r="M406">
        <v>9</v>
      </c>
      <c r="N406">
        <v>9</v>
      </c>
      <c r="O406">
        <v>6</v>
      </c>
      <c r="P406">
        <v>6</v>
      </c>
      <c r="Q406">
        <v>6</v>
      </c>
      <c r="R406">
        <v>7</v>
      </c>
      <c r="S406" t="s">
        <v>85</v>
      </c>
      <c r="T406" t="s">
        <v>114</v>
      </c>
      <c r="U406" t="s">
        <v>37</v>
      </c>
      <c r="V406">
        <v>25</v>
      </c>
      <c r="W406" t="s">
        <v>38</v>
      </c>
      <c r="X406" t="s">
        <v>237</v>
      </c>
      <c r="Y406" t="s">
        <v>39</v>
      </c>
    </row>
    <row r="407" spans="1:25" x14ac:dyDescent="0.45">
      <c r="A407" t="s">
        <v>1238</v>
      </c>
      <c r="B407" t="s">
        <v>25</v>
      </c>
      <c r="C407" s="3" t="s">
        <v>1099</v>
      </c>
      <c r="D407" s="3">
        <f t="shared" si="12"/>
        <v>44871</v>
      </c>
      <c r="E407" t="s">
        <v>1239</v>
      </c>
      <c r="F407" s="4">
        <f t="shared" si="13"/>
        <v>0.44305555555555554</v>
      </c>
      <c r="G407" t="s">
        <v>813</v>
      </c>
      <c r="H407" t="s">
        <v>30</v>
      </c>
      <c r="I407" t="s">
        <v>31</v>
      </c>
      <c r="J407" t="s">
        <v>53</v>
      </c>
      <c r="K407" t="s">
        <v>1240</v>
      </c>
      <c r="L407" t="s">
        <v>318</v>
      </c>
      <c r="M407" t="s">
        <v>28</v>
      </c>
      <c r="N407">
        <v>5</v>
      </c>
      <c r="O407">
        <v>8</v>
      </c>
      <c r="P407">
        <v>4</v>
      </c>
      <c r="Q407">
        <v>8</v>
      </c>
      <c r="R407">
        <v>4</v>
      </c>
      <c r="S407" t="s">
        <v>55</v>
      </c>
      <c r="T407" t="s">
        <v>114</v>
      </c>
      <c r="U407" t="s">
        <v>37</v>
      </c>
      <c r="V407">
        <v>45</v>
      </c>
      <c r="W407" t="s">
        <v>183</v>
      </c>
      <c r="X407" t="s">
        <v>262</v>
      </c>
      <c r="Y407" t="s">
        <v>39</v>
      </c>
    </row>
    <row r="408" spans="1:25" x14ac:dyDescent="0.45">
      <c r="A408" t="s">
        <v>1241</v>
      </c>
      <c r="B408" t="s">
        <v>25</v>
      </c>
      <c r="C408" s="3" t="s">
        <v>1099</v>
      </c>
      <c r="D408" s="3">
        <f t="shared" si="12"/>
        <v>44871</v>
      </c>
      <c r="E408" t="s">
        <v>570</v>
      </c>
      <c r="F408" s="4">
        <f t="shared" si="13"/>
        <v>0.4513888888888889</v>
      </c>
      <c r="G408" t="s">
        <v>1242</v>
      </c>
      <c r="H408" t="s">
        <v>30</v>
      </c>
      <c r="I408" t="s">
        <v>43</v>
      </c>
      <c r="J408" t="s">
        <v>44</v>
      </c>
      <c r="K408" t="s">
        <v>45</v>
      </c>
      <c r="L408" t="s">
        <v>46</v>
      </c>
      <c r="M408">
        <v>7</v>
      </c>
      <c r="N408">
        <v>9</v>
      </c>
      <c r="O408">
        <v>8</v>
      </c>
      <c r="P408">
        <v>6</v>
      </c>
      <c r="Q408">
        <v>6</v>
      </c>
      <c r="R408">
        <v>9</v>
      </c>
      <c r="S408" t="s">
        <v>85</v>
      </c>
      <c r="T408" t="s">
        <v>114</v>
      </c>
      <c r="U408" t="s">
        <v>37</v>
      </c>
      <c r="V408">
        <v>26</v>
      </c>
      <c r="W408" t="s">
        <v>38</v>
      </c>
      <c r="X408" t="s">
        <v>240</v>
      </c>
      <c r="Y408" t="s">
        <v>58</v>
      </c>
    </row>
    <row r="409" spans="1:25" x14ac:dyDescent="0.45">
      <c r="A409" t="s">
        <v>1243</v>
      </c>
      <c r="B409" t="s">
        <v>25</v>
      </c>
      <c r="C409" s="3" t="s">
        <v>1099</v>
      </c>
      <c r="D409" s="3">
        <f t="shared" si="12"/>
        <v>44871</v>
      </c>
      <c r="E409" t="s">
        <v>1244</v>
      </c>
      <c r="F409" s="4">
        <f t="shared" si="13"/>
        <v>0.46388888888888891</v>
      </c>
      <c r="G409" t="s">
        <v>822</v>
      </c>
      <c r="H409" t="s">
        <v>77</v>
      </c>
      <c r="I409" t="s">
        <v>43</v>
      </c>
      <c r="J409" t="s">
        <v>53</v>
      </c>
      <c r="K409" t="s">
        <v>45</v>
      </c>
      <c r="L409" t="s">
        <v>34</v>
      </c>
      <c r="M409">
        <v>7</v>
      </c>
      <c r="N409">
        <v>7</v>
      </c>
      <c r="O409">
        <v>8</v>
      </c>
      <c r="P409">
        <v>6</v>
      </c>
      <c r="Q409">
        <v>6</v>
      </c>
      <c r="R409">
        <v>4</v>
      </c>
      <c r="S409" t="s">
        <v>85</v>
      </c>
      <c r="T409" t="s">
        <v>56</v>
      </c>
      <c r="U409" t="s">
        <v>37</v>
      </c>
      <c r="V409">
        <v>26</v>
      </c>
      <c r="W409" t="s">
        <v>147</v>
      </c>
      <c r="X409" t="s">
        <v>240</v>
      </c>
      <c r="Y409" t="s">
        <v>200</v>
      </c>
    </row>
    <row r="410" spans="1:25" x14ac:dyDescent="0.45">
      <c r="A410" t="s">
        <v>1245</v>
      </c>
      <c r="B410" t="s">
        <v>25</v>
      </c>
      <c r="C410" s="3" t="s">
        <v>1099</v>
      </c>
      <c r="D410" s="3">
        <f t="shared" si="12"/>
        <v>44871</v>
      </c>
      <c r="E410" t="s">
        <v>598</v>
      </c>
      <c r="F410" s="4">
        <f t="shared" si="13"/>
        <v>0.46597222222222223</v>
      </c>
      <c r="G410" t="s">
        <v>1246</v>
      </c>
      <c r="H410" t="s">
        <v>1247</v>
      </c>
      <c r="I410" t="s">
        <v>31</v>
      </c>
      <c r="J410" t="s">
        <v>53</v>
      </c>
      <c r="K410" t="s">
        <v>45</v>
      </c>
      <c r="L410" t="s">
        <v>34</v>
      </c>
      <c r="M410">
        <v>3</v>
      </c>
      <c r="N410">
        <v>2</v>
      </c>
      <c r="O410">
        <v>4</v>
      </c>
      <c r="P410">
        <v>2</v>
      </c>
      <c r="Q410">
        <v>2</v>
      </c>
      <c r="R410">
        <v>3</v>
      </c>
      <c r="S410" t="s">
        <v>69</v>
      </c>
      <c r="T410" t="s">
        <v>70</v>
      </c>
      <c r="U410" t="s">
        <v>37</v>
      </c>
      <c r="V410">
        <v>23</v>
      </c>
      <c r="W410" t="s">
        <v>147</v>
      </c>
      <c r="X410" t="s">
        <v>240</v>
      </c>
      <c r="Y410" t="s">
        <v>48</v>
      </c>
    </row>
    <row r="411" spans="1:25" x14ac:dyDescent="0.45">
      <c r="A411" t="s">
        <v>1248</v>
      </c>
      <c r="B411" t="s">
        <v>25</v>
      </c>
      <c r="C411" s="3" t="s">
        <v>1099</v>
      </c>
      <c r="D411" s="3">
        <f t="shared" si="12"/>
        <v>44871</v>
      </c>
      <c r="E411" t="s">
        <v>609</v>
      </c>
      <c r="F411" s="4">
        <f t="shared" si="13"/>
        <v>0.47083333333333333</v>
      </c>
      <c r="G411" t="s">
        <v>189</v>
      </c>
      <c r="H411" t="s">
        <v>52</v>
      </c>
      <c r="I411" t="s">
        <v>31</v>
      </c>
      <c r="J411" t="s">
        <v>32</v>
      </c>
      <c r="K411" t="s">
        <v>103</v>
      </c>
      <c r="L411" t="s">
        <v>34</v>
      </c>
      <c r="M411">
        <v>4</v>
      </c>
      <c r="N411">
        <v>4</v>
      </c>
      <c r="O411">
        <v>4</v>
      </c>
      <c r="P411">
        <v>4</v>
      </c>
      <c r="Q411">
        <v>5</v>
      </c>
      <c r="R411">
        <v>6</v>
      </c>
      <c r="S411" t="s">
        <v>85</v>
      </c>
      <c r="T411" t="s">
        <v>56</v>
      </c>
      <c r="U411" t="s">
        <v>37</v>
      </c>
      <c r="V411">
        <v>25</v>
      </c>
      <c r="W411" t="s">
        <v>147</v>
      </c>
      <c r="X411" t="s">
        <v>240</v>
      </c>
      <c r="Y411" t="s">
        <v>48</v>
      </c>
    </row>
    <row r="412" spans="1:25" x14ac:dyDescent="0.45">
      <c r="A412" t="s">
        <v>1249</v>
      </c>
      <c r="B412" t="s">
        <v>25</v>
      </c>
      <c r="C412" s="3" t="s">
        <v>1099</v>
      </c>
      <c r="D412" s="3">
        <f t="shared" si="12"/>
        <v>44871</v>
      </c>
      <c r="E412" t="s">
        <v>1250</v>
      </c>
      <c r="F412" s="4">
        <f t="shared" si="13"/>
        <v>0.47152777777777777</v>
      </c>
      <c r="G412" t="s">
        <v>215</v>
      </c>
      <c r="H412" t="s">
        <v>30</v>
      </c>
      <c r="I412" t="s">
        <v>31</v>
      </c>
      <c r="J412" t="s">
        <v>44</v>
      </c>
      <c r="K412" t="s">
        <v>33</v>
      </c>
      <c r="L412" t="s">
        <v>46</v>
      </c>
      <c r="M412">
        <v>4</v>
      </c>
      <c r="N412">
        <v>5</v>
      </c>
      <c r="O412">
        <v>6</v>
      </c>
      <c r="P412">
        <v>6</v>
      </c>
      <c r="Q412">
        <v>5</v>
      </c>
      <c r="R412">
        <v>6</v>
      </c>
      <c r="S412" t="s">
        <v>85</v>
      </c>
      <c r="T412" t="s">
        <v>70</v>
      </c>
      <c r="U412" t="s">
        <v>65</v>
      </c>
      <c r="V412">
        <v>33</v>
      </c>
      <c r="W412" t="s">
        <v>38</v>
      </c>
      <c r="X412" t="s">
        <v>227</v>
      </c>
      <c r="Y412" t="s">
        <v>39</v>
      </c>
    </row>
    <row r="413" spans="1:25" x14ac:dyDescent="0.45">
      <c r="A413" t="s">
        <v>1251</v>
      </c>
      <c r="B413" t="s">
        <v>25</v>
      </c>
      <c r="C413" s="3" t="s">
        <v>1099</v>
      </c>
      <c r="D413" s="3">
        <f t="shared" si="12"/>
        <v>44871</v>
      </c>
      <c r="E413" t="s">
        <v>1252</v>
      </c>
      <c r="F413" s="4">
        <f t="shared" si="13"/>
        <v>0.47291666666666665</v>
      </c>
      <c r="G413" t="s">
        <v>371</v>
      </c>
      <c r="H413" t="s">
        <v>1253</v>
      </c>
      <c r="I413" t="s">
        <v>43</v>
      </c>
      <c r="J413" t="s">
        <v>53</v>
      </c>
      <c r="K413" t="s">
        <v>1254</v>
      </c>
      <c r="L413" t="s">
        <v>318</v>
      </c>
      <c r="M413">
        <v>6</v>
      </c>
      <c r="N413">
        <v>3</v>
      </c>
      <c r="O413">
        <v>3</v>
      </c>
      <c r="P413">
        <v>6</v>
      </c>
      <c r="Q413">
        <v>6</v>
      </c>
      <c r="R413">
        <v>4</v>
      </c>
      <c r="S413" t="s">
        <v>64</v>
      </c>
      <c r="T413" t="s">
        <v>1255</v>
      </c>
      <c r="U413" t="s">
        <v>37</v>
      </c>
      <c r="V413">
        <v>33</v>
      </c>
      <c r="W413" t="s">
        <v>147</v>
      </c>
      <c r="X413" t="s">
        <v>237</v>
      </c>
      <c r="Y413" t="s">
        <v>48</v>
      </c>
    </row>
    <row r="414" spans="1:25" x14ac:dyDescent="0.45">
      <c r="A414" t="s">
        <v>1256</v>
      </c>
      <c r="B414" t="s">
        <v>25</v>
      </c>
      <c r="C414" s="3" t="s">
        <v>1099</v>
      </c>
      <c r="D414" s="3">
        <f t="shared" si="12"/>
        <v>44871</v>
      </c>
      <c r="E414" t="s">
        <v>1257</v>
      </c>
      <c r="F414" s="4">
        <f t="shared" si="13"/>
        <v>0.48402777777777778</v>
      </c>
      <c r="G414" t="s">
        <v>479</v>
      </c>
      <c r="H414" t="s">
        <v>30</v>
      </c>
      <c r="I414" t="s">
        <v>31</v>
      </c>
      <c r="J414" t="s">
        <v>87</v>
      </c>
      <c r="K414" t="s">
        <v>33</v>
      </c>
      <c r="L414" t="s">
        <v>46</v>
      </c>
      <c r="M414">
        <v>7</v>
      </c>
      <c r="N414">
        <v>8</v>
      </c>
      <c r="O414">
        <v>7</v>
      </c>
      <c r="P414">
        <v>8</v>
      </c>
      <c r="Q414">
        <v>3</v>
      </c>
      <c r="R414">
        <v>4</v>
      </c>
      <c r="S414" t="s">
        <v>55</v>
      </c>
      <c r="T414" t="s">
        <v>114</v>
      </c>
      <c r="U414" t="s">
        <v>37</v>
      </c>
      <c r="V414">
        <v>27</v>
      </c>
      <c r="W414" t="s">
        <v>38</v>
      </c>
      <c r="X414" t="s">
        <v>237</v>
      </c>
      <c r="Y414" t="s">
        <v>39</v>
      </c>
    </row>
    <row r="415" spans="1:25" x14ac:dyDescent="0.45">
      <c r="A415" t="s">
        <v>1258</v>
      </c>
      <c r="B415" t="s">
        <v>25</v>
      </c>
      <c r="C415" s="3" t="s">
        <v>1099</v>
      </c>
      <c r="D415" s="3">
        <f t="shared" si="12"/>
        <v>44871</v>
      </c>
      <c r="E415" t="s">
        <v>1259</v>
      </c>
      <c r="F415" s="4">
        <f t="shared" si="13"/>
        <v>0.5083333333333333</v>
      </c>
      <c r="G415" t="s">
        <v>234</v>
      </c>
      <c r="H415" t="s">
        <v>30</v>
      </c>
      <c r="I415" t="s">
        <v>31</v>
      </c>
      <c r="J415" t="s">
        <v>32</v>
      </c>
      <c r="K415" t="s">
        <v>103</v>
      </c>
      <c r="L415" t="s">
        <v>34</v>
      </c>
      <c r="M415">
        <v>9</v>
      </c>
      <c r="N415">
        <v>9</v>
      </c>
      <c r="O415">
        <v>9</v>
      </c>
      <c r="P415">
        <v>8</v>
      </c>
      <c r="Q415">
        <v>8</v>
      </c>
      <c r="R415">
        <v>9</v>
      </c>
      <c r="S415" t="s">
        <v>69</v>
      </c>
      <c r="T415" t="s">
        <v>36</v>
      </c>
      <c r="U415" t="s">
        <v>65</v>
      </c>
      <c r="V415">
        <v>28</v>
      </c>
      <c r="W415" t="s">
        <v>38</v>
      </c>
      <c r="X415" t="s">
        <v>240</v>
      </c>
      <c r="Y415" t="s">
        <v>91</v>
      </c>
    </row>
    <row r="416" spans="1:25" x14ac:dyDescent="0.45">
      <c r="A416" t="s">
        <v>1260</v>
      </c>
      <c r="B416" t="s">
        <v>25</v>
      </c>
      <c r="C416" s="3" t="s">
        <v>1099</v>
      </c>
      <c r="D416" s="3">
        <f t="shared" si="12"/>
        <v>44871</v>
      </c>
      <c r="E416" t="s">
        <v>1261</v>
      </c>
      <c r="F416" s="4">
        <f t="shared" si="13"/>
        <v>0.50902777777777775</v>
      </c>
      <c r="G416" t="s">
        <v>402</v>
      </c>
      <c r="H416" t="s">
        <v>30</v>
      </c>
      <c r="I416" t="s">
        <v>31</v>
      </c>
      <c r="J416" t="s">
        <v>94</v>
      </c>
      <c r="K416" t="s">
        <v>103</v>
      </c>
      <c r="L416" t="s">
        <v>34</v>
      </c>
      <c r="M416">
        <v>5</v>
      </c>
      <c r="N416">
        <v>6</v>
      </c>
      <c r="O416">
        <v>7</v>
      </c>
      <c r="P416">
        <v>6</v>
      </c>
      <c r="Q416">
        <v>6</v>
      </c>
      <c r="R416">
        <v>7</v>
      </c>
      <c r="S416" t="s">
        <v>64</v>
      </c>
      <c r="T416" t="s">
        <v>70</v>
      </c>
      <c r="U416" t="s">
        <v>37</v>
      </c>
      <c r="V416">
        <v>32</v>
      </c>
      <c r="W416" t="s">
        <v>38</v>
      </c>
      <c r="X416" t="s">
        <v>237</v>
      </c>
      <c r="Y416" t="s">
        <v>91</v>
      </c>
    </row>
    <row r="417" spans="1:25" x14ac:dyDescent="0.45">
      <c r="A417" t="s">
        <v>1262</v>
      </c>
      <c r="B417" t="s">
        <v>25</v>
      </c>
      <c r="C417" s="3" t="s">
        <v>1099</v>
      </c>
      <c r="D417" s="3">
        <f t="shared" si="12"/>
        <v>44871</v>
      </c>
      <c r="E417" t="s">
        <v>1263</v>
      </c>
      <c r="F417" s="4">
        <f t="shared" si="13"/>
        <v>0.52500000000000002</v>
      </c>
      <c r="G417" t="s">
        <v>112</v>
      </c>
      <c r="H417" t="s">
        <v>30</v>
      </c>
      <c r="I417" t="s">
        <v>31</v>
      </c>
      <c r="J417" t="s">
        <v>53</v>
      </c>
      <c r="K417" t="s">
        <v>103</v>
      </c>
      <c r="L417" t="s">
        <v>34</v>
      </c>
      <c r="M417">
        <v>2</v>
      </c>
      <c r="N417">
        <v>6</v>
      </c>
      <c r="O417">
        <v>3</v>
      </c>
      <c r="P417">
        <v>6</v>
      </c>
      <c r="Q417">
        <v>6</v>
      </c>
      <c r="R417">
        <v>7</v>
      </c>
      <c r="S417" t="s">
        <v>85</v>
      </c>
      <c r="T417" t="s">
        <v>70</v>
      </c>
      <c r="U417" t="s">
        <v>37</v>
      </c>
      <c r="V417">
        <v>35</v>
      </c>
      <c r="W417" t="s">
        <v>147</v>
      </c>
      <c r="X417" t="s">
        <v>240</v>
      </c>
      <c r="Y417" t="s">
        <v>48</v>
      </c>
    </row>
    <row r="418" spans="1:25" x14ac:dyDescent="0.45">
      <c r="A418" t="s">
        <v>1264</v>
      </c>
      <c r="B418" t="s">
        <v>25</v>
      </c>
      <c r="C418" s="3" t="s">
        <v>1099</v>
      </c>
      <c r="D418" s="3">
        <f t="shared" si="12"/>
        <v>44871</v>
      </c>
      <c r="E418" t="s">
        <v>716</v>
      </c>
      <c r="F418" s="4">
        <f t="shared" si="13"/>
        <v>0.52777777777777779</v>
      </c>
      <c r="G418" t="s">
        <v>881</v>
      </c>
      <c r="H418" t="s">
        <v>30</v>
      </c>
      <c r="I418" t="s">
        <v>31</v>
      </c>
      <c r="J418" t="s">
        <v>87</v>
      </c>
      <c r="K418" t="s">
        <v>712</v>
      </c>
      <c r="L418" t="s">
        <v>34</v>
      </c>
      <c r="M418">
        <v>8</v>
      </c>
      <c r="N418">
        <v>9</v>
      </c>
      <c r="O418">
        <v>10</v>
      </c>
      <c r="P418">
        <v>10</v>
      </c>
      <c r="Q418">
        <v>9</v>
      </c>
      <c r="R418">
        <v>10</v>
      </c>
      <c r="S418" t="s">
        <v>85</v>
      </c>
      <c r="T418" t="s">
        <v>114</v>
      </c>
      <c r="U418" t="s">
        <v>37</v>
      </c>
      <c r="V418">
        <v>34</v>
      </c>
      <c r="W418" t="s">
        <v>38</v>
      </c>
      <c r="X418" t="s">
        <v>240</v>
      </c>
      <c r="Y418" t="s">
        <v>91</v>
      </c>
    </row>
    <row r="419" spans="1:25" x14ac:dyDescent="0.45">
      <c r="A419" t="s">
        <v>1265</v>
      </c>
      <c r="B419" t="s">
        <v>25</v>
      </c>
      <c r="C419" s="3" t="s">
        <v>1099</v>
      </c>
      <c r="D419" s="3">
        <f t="shared" si="12"/>
        <v>44871</v>
      </c>
      <c r="E419" t="s">
        <v>1266</v>
      </c>
      <c r="F419" s="4">
        <f t="shared" si="13"/>
        <v>0.52916666666666667</v>
      </c>
      <c r="G419" t="s">
        <v>504</v>
      </c>
      <c r="H419" t="s">
        <v>30</v>
      </c>
      <c r="I419" t="s">
        <v>43</v>
      </c>
      <c r="J419" t="s">
        <v>44</v>
      </c>
      <c r="K419" t="s">
        <v>1267</v>
      </c>
      <c r="L419" t="s">
        <v>34</v>
      </c>
      <c r="M419">
        <v>9</v>
      </c>
      <c r="N419">
        <v>8</v>
      </c>
      <c r="O419">
        <v>3</v>
      </c>
      <c r="P419">
        <v>5</v>
      </c>
      <c r="Q419">
        <v>2</v>
      </c>
      <c r="R419">
        <v>4</v>
      </c>
      <c r="S419" t="s">
        <v>55</v>
      </c>
      <c r="T419" t="s">
        <v>70</v>
      </c>
      <c r="U419" t="s">
        <v>37</v>
      </c>
      <c r="V419">
        <v>27</v>
      </c>
      <c r="W419" t="s">
        <v>267</v>
      </c>
      <c r="X419" t="s">
        <v>240</v>
      </c>
      <c r="Y419" t="s">
        <v>39</v>
      </c>
    </row>
    <row r="420" spans="1:25" x14ac:dyDescent="0.45">
      <c r="A420" t="s">
        <v>1268</v>
      </c>
      <c r="B420" t="s">
        <v>25</v>
      </c>
      <c r="C420" s="3" t="s">
        <v>1099</v>
      </c>
      <c r="D420" s="3">
        <f t="shared" si="12"/>
        <v>44871</v>
      </c>
      <c r="E420" t="s">
        <v>1269</v>
      </c>
      <c r="F420" s="4">
        <f t="shared" si="13"/>
        <v>0.53472222222222221</v>
      </c>
      <c r="G420" t="s">
        <v>1195</v>
      </c>
      <c r="H420" t="s">
        <v>1270</v>
      </c>
      <c r="I420" t="s">
        <v>31</v>
      </c>
      <c r="J420" t="s">
        <v>94</v>
      </c>
      <c r="K420" t="s">
        <v>108</v>
      </c>
      <c r="L420" t="s">
        <v>46</v>
      </c>
      <c r="M420">
        <v>4</v>
      </c>
      <c r="N420">
        <v>5</v>
      </c>
      <c r="O420">
        <v>5</v>
      </c>
      <c r="P420">
        <v>3</v>
      </c>
      <c r="Q420">
        <v>3</v>
      </c>
      <c r="R420">
        <v>4</v>
      </c>
      <c r="S420" t="s">
        <v>55</v>
      </c>
      <c r="T420" t="s">
        <v>114</v>
      </c>
      <c r="U420" t="s">
        <v>65</v>
      </c>
      <c r="V420">
        <v>30</v>
      </c>
      <c r="W420" t="s">
        <v>38</v>
      </c>
      <c r="X420" t="s">
        <v>240</v>
      </c>
      <c r="Y420" t="s">
        <v>39</v>
      </c>
    </row>
    <row r="421" spans="1:25" x14ac:dyDescent="0.45">
      <c r="A421" t="s">
        <v>1271</v>
      </c>
      <c r="B421" t="s">
        <v>25</v>
      </c>
      <c r="C421" s="3" t="s">
        <v>1099</v>
      </c>
      <c r="D421" s="3">
        <f t="shared" si="12"/>
        <v>44871</v>
      </c>
      <c r="E421" t="s">
        <v>754</v>
      </c>
      <c r="F421" s="4">
        <f t="shared" si="13"/>
        <v>0.55277777777777781</v>
      </c>
      <c r="G421" t="s">
        <v>1225</v>
      </c>
      <c r="H421" t="s">
        <v>30</v>
      </c>
      <c r="I421" t="s">
        <v>43</v>
      </c>
      <c r="J421" t="s">
        <v>94</v>
      </c>
      <c r="K421" t="s">
        <v>1272</v>
      </c>
      <c r="L421" t="s">
        <v>34</v>
      </c>
      <c r="M421">
        <v>8</v>
      </c>
      <c r="N421">
        <v>9</v>
      </c>
      <c r="O421">
        <v>9</v>
      </c>
      <c r="P421">
        <v>9</v>
      </c>
      <c r="Q421">
        <v>9</v>
      </c>
      <c r="R421">
        <v>10</v>
      </c>
      <c r="S421" t="s">
        <v>85</v>
      </c>
      <c r="T421" t="s">
        <v>70</v>
      </c>
      <c r="U421" t="s">
        <v>37</v>
      </c>
      <c r="V421">
        <v>34</v>
      </c>
      <c r="W421" t="s">
        <v>38</v>
      </c>
      <c r="X421" t="s">
        <v>240</v>
      </c>
      <c r="Y421" t="s">
        <v>39</v>
      </c>
    </row>
    <row r="422" spans="1:25" x14ac:dyDescent="0.45">
      <c r="A422" t="s">
        <v>1273</v>
      </c>
      <c r="B422" t="s">
        <v>25</v>
      </c>
      <c r="C422" s="3" t="s">
        <v>1099</v>
      </c>
      <c r="D422" s="3">
        <f t="shared" si="12"/>
        <v>44871</v>
      </c>
      <c r="E422" t="s">
        <v>1274</v>
      </c>
      <c r="F422" s="4">
        <f t="shared" si="13"/>
        <v>0.55347222222222225</v>
      </c>
      <c r="G422" t="s">
        <v>1104</v>
      </c>
      <c r="H422" t="s">
        <v>1275</v>
      </c>
      <c r="I422" t="s">
        <v>43</v>
      </c>
      <c r="J422" t="s">
        <v>44</v>
      </c>
      <c r="K422" t="s">
        <v>892</v>
      </c>
      <c r="L422" t="s">
        <v>34</v>
      </c>
      <c r="M422">
        <v>3</v>
      </c>
      <c r="N422">
        <v>10</v>
      </c>
      <c r="O422">
        <v>6</v>
      </c>
      <c r="P422">
        <v>5</v>
      </c>
      <c r="Q422">
        <v>7</v>
      </c>
      <c r="R422">
        <v>8</v>
      </c>
      <c r="S422" t="s">
        <v>85</v>
      </c>
      <c r="T422" t="s">
        <v>36</v>
      </c>
      <c r="U422" t="s">
        <v>65</v>
      </c>
      <c r="V422">
        <v>22</v>
      </c>
      <c r="W422" t="s">
        <v>38</v>
      </c>
      <c r="X422" t="s">
        <v>237</v>
      </c>
      <c r="Y422" t="s">
        <v>39</v>
      </c>
    </row>
    <row r="423" spans="1:25" x14ac:dyDescent="0.45">
      <c r="A423" t="s">
        <v>1276</v>
      </c>
      <c r="B423" t="s">
        <v>25</v>
      </c>
      <c r="C423" s="3" t="s">
        <v>1099</v>
      </c>
      <c r="D423" s="3">
        <f t="shared" si="12"/>
        <v>44871</v>
      </c>
      <c r="E423" t="s">
        <v>1277</v>
      </c>
      <c r="F423" s="4">
        <f t="shared" si="13"/>
        <v>0.55902777777777779</v>
      </c>
      <c r="G423" t="s">
        <v>963</v>
      </c>
      <c r="H423" t="s">
        <v>30</v>
      </c>
      <c r="I423" t="s">
        <v>31</v>
      </c>
      <c r="J423" t="s">
        <v>53</v>
      </c>
      <c r="K423" t="s">
        <v>45</v>
      </c>
      <c r="L423" t="s">
        <v>34</v>
      </c>
      <c r="M423">
        <v>2</v>
      </c>
      <c r="N423">
        <v>2</v>
      </c>
      <c r="O423">
        <v>5</v>
      </c>
      <c r="P423">
        <v>5</v>
      </c>
      <c r="Q423">
        <v>2</v>
      </c>
      <c r="R423">
        <v>3</v>
      </c>
      <c r="S423" t="s">
        <v>35</v>
      </c>
      <c r="T423" t="s">
        <v>56</v>
      </c>
      <c r="U423" t="s">
        <v>65</v>
      </c>
      <c r="V423">
        <v>33</v>
      </c>
      <c r="W423" t="s">
        <v>147</v>
      </c>
      <c r="X423" t="s">
        <v>240</v>
      </c>
      <c r="Y423" t="s">
        <v>48</v>
      </c>
    </row>
    <row r="424" spans="1:25" x14ac:dyDescent="0.45">
      <c r="A424" t="s">
        <v>1278</v>
      </c>
      <c r="B424" t="s">
        <v>25</v>
      </c>
      <c r="C424" s="3" t="s">
        <v>1099</v>
      </c>
      <c r="D424" s="3">
        <f t="shared" si="12"/>
        <v>44871</v>
      </c>
      <c r="E424" t="s">
        <v>1279</v>
      </c>
      <c r="F424" s="4">
        <f t="shared" si="13"/>
        <v>0.56041666666666667</v>
      </c>
      <c r="G424" t="s">
        <v>1209</v>
      </c>
      <c r="H424" t="s">
        <v>30</v>
      </c>
      <c r="I424" t="s">
        <v>43</v>
      </c>
      <c r="J424" t="s">
        <v>53</v>
      </c>
      <c r="K424" t="s">
        <v>45</v>
      </c>
      <c r="L424" t="s">
        <v>34</v>
      </c>
      <c r="M424">
        <v>8</v>
      </c>
      <c r="N424">
        <v>9</v>
      </c>
      <c r="O424">
        <v>9</v>
      </c>
      <c r="P424">
        <v>9</v>
      </c>
      <c r="Q424">
        <v>9</v>
      </c>
      <c r="R424">
        <v>9</v>
      </c>
      <c r="S424" t="s">
        <v>85</v>
      </c>
      <c r="T424" t="s">
        <v>70</v>
      </c>
      <c r="U424" t="s">
        <v>65</v>
      </c>
      <c r="V424">
        <v>26</v>
      </c>
      <c r="W424" t="s">
        <v>147</v>
      </c>
      <c r="X424" t="s">
        <v>240</v>
      </c>
      <c r="Y424" t="s">
        <v>48</v>
      </c>
    </row>
    <row r="425" spans="1:25" x14ac:dyDescent="0.45">
      <c r="A425" t="s">
        <v>1280</v>
      </c>
      <c r="B425" t="s">
        <v>25</v>
      </c>
      <c r="C425" s="3" t="s">
        <v>1099</v>
      </c>
      <c r="D425" s="3">
        <f t="shared" si="12"/>
        <v>44871</v>
      </c>
      <c r="E425" t="s">
        <v>1281</v>
      </c>
      <c r="F425" s="4">
        <f t="shared" si="13"/>
        <v>0.5625</v>
      </c>
      <c r="G425" t="s">
        <v>336</v>
      </c>
      <c r="H425" t="s">
        <v>52</v>
      </c>
      <c r="I425" t="s">
        <v>31</v>
      </c>
      <c r="J425" t="s">
        <v>53</v>
      </c>
      <c r="K425" t="s">
        <v>103</v>
      </c>
      <c r="L425" t="s">
        <v>34</v>
      </c>
      <c r="M425">
        <v>0</v>
      </c>
      <c r="N425">
        <v>5</v>
      </c>
      <c r="O425">
        <v>8</v>
      </c>
      <c r="P425">
        <v>6</v>
      </c>
      <c r="Q425">
        <v>5</v>
      </c>
      <c r="R425">
        <v>7</v>
      </c>
      <c r="S425" t="s">
        <v>85</v>
      </c>
      <c r="T425" t="s">
        <v>70</v>
      </c>
      <c r="U425" t="s">
        <v>37</v>
      </c>
      <c r="V425">
        <v>28</v>
      </c>
      <c r="W425" t="s">
        <v>104</v>
      </c>
      <c r="X425" t="s">
        <v>237</v>
      </c>
      <c r="Y425" t="s">
        <v>91</v>
      </c>
    </row>
    <row r="426" spans="1:25" x14ac:dyDescent="0.45">
      <c r="A426" t="s">
        <v>1282</v>
      </c>
      <c r="B426" t="s">
        <v>25</v>
      </c>
      <c r="C426" s="3" t="s">
        <v>1099</v>
      </c>
      <c r="D426" s="3">
        <f t="shared" si="12"/>
        <v>44871</v>
      </c>
      <c r="E426" t="s">
        <v>784</v>
      </c>
      <c r="F426" s="4">
        <f t="shared" si="13"/>
        <v>0.5805555555555556</v>
      </c>
      <c r="G426" t="s">
        <v>1283</v>
      </c>
      <c r="H426" t="s">
        <v>1284</v>
      </c>
      <c r="I426" t="s">
        <v>43</v>
      </c>
      <c r="J426" t="s">
        <v>53</v>
      </c>
      <c r="K426" t="s">
        <v>1285</v>
      </c>
      <c r="L426" t="s">
        <v>34</v>
      </c>
      <c r="M426">
        <v>2</v>
      </c>
      <c r="N426">
        <v>2</v>
      </c>
      <c r="O426">
        <v>7</v>
      </c>
      <c r="P426">
        <v>4</v>
      </c>
      <c r="Q426">
        <v>8</v>
      </c>
      <c r="R426">
        <v>1</v>
      </c>
      <c r="S426" t="s">
        <v>69</v>
      </c>
      <c r="T426" t="s">
        <v>36</v>
      </c>
      <c r="U426" t="s">
        <v>37</v>
      </c>
      <c r="V426">
        <v>42</v>
      </c>
      <c r="W426" t="s">
        <v>109</v>
      </c>
      <c r="X426" t="s">
        <v>237</v>
      </c>
      <c r="Y426" t="s">
        <v>1286</v>
      </c>
    </row>
    <row r="427" spans="1:25" x14ac:dyDescent="0.45">
      <c r="A427" t="s">
        <v>1287</v>
      </c>
      <c r="B427" t="s">
        <v>25</v>
      </c>
      <c r="C427" s="3" t="s">
        <v>1099</v>
      </c>
      <c r="D427" s="3">
        <f t="shared" si="12"/>
        <v>44871</v>
      </c>
      <c r="E427" t="s">
        <v>1288</v>
      </c>
      <c r="F427" s="4">
        <f t="shared" si="13"/>
        <v>0.58263888888888893</v>
      </c>
      <c r="G427" t="s">
        <v>1225</v>
      </c>
      <c r="H427" t="s">
        <v>30</v>
      </c>
      <c r="I427" t="s">
        <v>43</v>
      </c>
      <c r="J427" t="s">
        <v>53</v>
      </c>
      <c r="K427" t="s">
        <v>1289</v>
      </c>
      <c r="L427" t="s">
        <v>46</v>
      </c>
      <c r="M427">
        <v>4</v>
      </c>
      <c r="N427">
        <v>10</v>
      </c>
      <c r="O427">
        <v>2</v>
      </c>
      <c r="P427">
        <v>3</v>
      </c>
      <c r="Q427">
        <v>2</v>
      </c>
      <c r="R427">
        <v>3</v>
      </c>
      <c r="S427" t="s">
        <v>85</v>
      </c>
      <c r="T427" t="s">
        <v>70</v>
      </c>
      <c r="U427" t="s">
        <v>37</v>
      </c>
      <c r="V427">
        <v>30</v>
      </c>
      <c r="W427" t="s">
        <v>886</v>
      </c>
      <c r="X427" t="s">
        <v>240</v>
      </c>
      <c r="Y427" t="s">
        <v>1290</v>
      </c>
    </row>
    <row r="428" spans="1:25" x14ac:dyDescent="0.45">
      <c r="A428" t="s">
        <v>1291</v>
      </c>
      <c r="B428" t="s">
        <v>25</v>
      </c>
      <c r="C428" s="3" t="s">
        <v>1099</v>
      </c>
      <c r="D428" s="3">
        <f t="shared" si="12"/>
        <v>44871</v>
      </c>
      <c r="E428" t="s">
        <v>1292</v>
      </c>
      <c r="F428" s="4">
        <f t="shared" si="13"/>
        <v>0.58819444444444446</v>
      </c>
      <c r="G428" t="s">
        <v>344</v>
      </c>
      <c r="H428" t="s">
        <v>77</v>
      </c>
      <c r="I428" t="s">
        <v>31</v>
      </c>
      <c r="J428" t="s">
        <v>32</v>
      </c>
      <c r="K428" t="s">
        <v>103</v>
      </c>
      <c r="L428" t="s">
        <v>318</v>
      </c>
      <c r="M428">
        <v>10</v>
      </c>
      <c r="N428">
        <v>9</v>
      </c>
      <c r="O428">
        <v>8</v>
      </c>
      <c r="P428">
        <v>8</v>
      </c>
      <c r="Q428">
        <v>9</v>
      </c>
      <c r="R428">
        <v>10</v>
      </c>
      <c r="S428" t="s">
        <v>69</v>
      </c>
      <c r="T428" t="s">
        <v>70</v>
      </c>
      <c r="U428" t="s">
        <v>37</v>
      </c>
      <c r="V428">
        <v>25</v>
      </c>
      <c r="W428" t="s">
        <v>38</v>
      </c>
      <c r="X428" t="s">
        <v>262</v>
      </c>
      <c r="Y428" t="s">
        <v>39</v>
      </c>
    </row>
    <row r="429" spans="1:25" x14ac:dyDescent="0.45">
      <c r="A429" t="s">
        <v>1293</v>
      </c>
      <c r="B429" t="s">
        <v>25</v>
      </c>
      <c r="C429" s="3" t="s">
        <v>1099</v>
      </c>
      <c r="D429" s="3">
        <f t="shared" si="12"/>
        <v>44871</v>
      </c>
      <c r="E429" t="s">
        <v>1294</v>
      </c>
      <c r="F429" s="4">
        <f t="shared" si="13"/>
        <v>0.59861111111111109</v>
      </c>
      <c r="G429" t="s">
        <v>1237</v>
      </c>
      <c r="H429" t="s">
        <v>30</v>
      </c>
      <c r="I429" t="s">
        <v>31</v>
      </c>
      <c r="J429" t="s">
        <v>44</v>
      </c>
      <c r="K429" t="s">
        <v>113</v>
      </c>
      <c r="L429" t="s">
        <v>34</v>
      </c>
      <c r="M429">
        <v>4</v>
      </c>
      <c r="N429">
        <v>6</v>
      </c>
      <c r="O429">
        <v>6</v>
      </c>
      <c r="P429">
        <v>6</v>
      </c>
      <c r="Q429">
        <v>5</v>
      </c>
      <c r="R429">
        <v>7</v>
      </c>
      <c r="S429" t="s">
        <v>55</v>
      </c>
      <c r="T429" t="s">
        <v>70</v>
      </c>
      <c r="U429" t="s">
        <v>37</v>
      </c>
      <c r="V429">
        <v>32</v>
      </c>
      <c r="W429" t="s">
        <v>38</v>
      </c>
      <c r="X429" t="s">
        <v>237</v>
      </c>
      <c r="Y429" t="s">
        <v>58</v>
      </c>
    </row>
    <row r="430" spans="1:25" x14ac:dyDescent="0.45">
      <c r="A430" t="s">
        <v>1295</v>
      </c>
      <c r="B430" t="s">
        <v>25</v>
      </c>
      <c r="C430" s="3" t="s">
        <v>1099</v>
      </c>
      <c r="D430" s="3">
        <f t="shared" si="12"/>
        <v>44871</v>
      </c>
      <c r="E430" t="s">
        <v>850</v>
      </c>
      <c r="F430" s="4">
        <f t="shared" si="13"/>
        <v>0.61597222222222225</v>
      </c>
      <c r="G430" t="s">
        <v>389</v>
      </c>
      <c r="H430" t="s">
        <v>30</v>
      </c>
      <c r="I430" t="s">
        <v>43</v>
      </c>
      <c r="J430" t="s">
        <v>53</v>
      </c>
      <c r="K430" t="s">
        <v>103</v>
      </c>
      <c r="L430" t="s">
        <v>34</v>
      </c>
      <c r="M430">
        <v>3</v>
      </c>
      <c r="N430">
        <v>4</v>
      </c>
      <c r="O430">
        <v>5</v>
      </c>
      <c r="P430">
        <v>5</v>
      </c>
      <c r="Q430">
        <v>6</v>
      </c>
      <c r="R430">
        <v>6</v>
      </c>
      <c r="S430" t="s">
        <v>85</v>
      </c>
      <c r="T430" t="s">
        <v>70</v>
      </c>
      <c r="U430" t="s">
        <v>37</v>
      </c>
      <c r="V430">
        <v>31</v>
      </c>
      <c r="W430" t="s">
        <v>267</v>
      </c>
      <c r="X430" t="s">
        <v>240</v>
      </c>
      <c r="Y430" t="s">
        <v>48</v>
      </c>
    </row>
    <row r="431" spans="1:25" x14ac:dyDescent="0.45">
      <c r="A431" t="s">
        <v>1296</v>
      </c>
      <c r="B431" t="s">
        <v>25</v>
      </c>
      <c r="C431" s="3" t="s">
        <v>1099</v>
      </c>
      <c r="D431" s="3">
        <f t="shared" si="12"/>
        <v>44871</v>
      </c>
      <c r="E431" t="s">
        <v>1297</v>
      </c>
      <c r="F431" s="4">
        <f t="shared" si="13"/>
        <v>0.62083333333333335</v>
      </c>
      <c r="G431" t="s">
        <v>1298</v>
      </c>
      <c r="H431" t="s">
        <v>30</v>
      </c>
      <c r="I431" t="s">
        <v>31</v>
      </c>
      <c r="J431" t="s">
        <v>63</v>
      </c>
      <c r="K431" t="s">
        <v>108</v>
      </c>
      <c r="L431" t="s">
        <v>34</v>
      </c>
      <c r="M431">
        <v>8</v>
      </c>
      <c r="N431">
        <v>7</v>
      </c>
      <c r="O431">
        <v>5</v>
      </c>
      <c r="P431">
        <v>4</v>
      </c>
      <c r="Q431">
        <v>7</v>
      </c>
      <c r="R431">
        <v>7</v>
      </c>
      <c r="S431" t="s">
        <v>55</v>
      </c>
      <c r="T431" t="s">
        <v>36</v>
      </c>
      <c r="U431" t="s">
        <v>37</v>
      </c>
      <c r="V431">
        <v>30</v>
      </c>
      <c r="W431" t="s">
        <v>634</v>
      </c>
      <c r="X431" t="s">
        <v>227</v>
      </c>
      <c r="Y431" t="s">
        <v>39</v>
      </c>
    </row>
    <row r="432" spans="1:25" x14ac:dyDescent="0.45">
      <c r="A432" t="s">
        <v>1299</v>
      </c>
      <c r="B432" t="s">
        <v>25</v>
      </c>
      <c r="C432" s="3" t="s">
        <v>1099</v>
      </c>
      <c r="D432" s="3">
        <f t="shared" si="12"/>
        <v>44871</v>
      </c>
      <c r="E432" t="s">
        <v>1300</v>
      </c>
      <c r="F432" s="4">
        <f t="shared" si="13"/>
        <v>0.62291666666666667</v>
      </c>
      <c r="G432" t="s">
        <v>1052</v>
      </c>
      <c r="H432" t="s">
        <v>123</v>
      </c>
      <c r="I432" t="s">
        <v>31</v>
      </c>
      <c r="J432" t="s">
        <v>53</v>
      </c>
      <c r="K432" t="s">
        <v>1301</v>
      </c>
      <c r="L432" t="s">
        <v>34</v>
      </c>
      <c r="M432">
        <v>0</v>
      </c>
      <c r="N432">
        <v>6</v>
      </c>
      <c r="O432">
        <v>6</v>
      </c>
      <c r="P432">
        <v>2</v>
      </c>
      <c r="Q432">
        <v>0</v>
      </c>
      <c r="R432">
        <v>3</v>
      </c>
      <c r="S432" t="s">
        <v>85</v>
      </c>
      <c r="T432" t="s">
        <v>70</v>
      </c>
      <c r="U432" t="s">
        <v>37</v>
      </c>
      <c r="V432">
        <v>23</v>
      </c>
      <c r="W432" t="s">
        <v>47</v>
      </c>
      <c r="X432" t="s">
        <v>237</v>
      </c>
      <c r="Y432" t="s">
        <v>48</v>
      </c>
    </row>
    <row r="433" spans="1:25" x14ac:dyDescent="0.45">
      <c r="A433" t="s">
        <v>1302</v>
      </c>
      <c r="B433" t="s">
        <v>25</v>
      </c>
      <c r="C433" s="3" t="s">
        <v>1099</v>
      </c>
      <c r="D433" s="3">
        <f t="shared" si="12"/>
        <v>44871</v>
      </c>
      <c r="E433" t="s">
        <v>1303</v>
      </c>
      <c r="F433" s="4">
        <f t="shared" si="13"/>
        <v>0.6743055555555556</v>
      </c>
      <c r="G433" t="s">
        <v>313</v>
      </c>
      <c r="H433" t="s">
        <v>1304</v>
      </c>
      <c r="I433" t="s">
        <v>43</v>
      </c>
      <c r="J433" t="s">
        <v>94</v>
      </c>
      <c r="K433" t="s">
        <v>108</v>
      </c>
      <c r="L433" t="s">
        <v>46</v>
      </c>
      <c r="M433">
        <v>7</v>
      </c>
      <c r="N433">
        <v>7</v>
      </c>
      <c r="O433">
        <v>6</v>
      </c>
      <c r="P433">
        <v>7</v>
      </c>
      <c r="Q433">
        <v>6</v>
      </c>
      <c r="R433">
        <v>6</v>
      </c>
      <c r="S433" t="s">
        <v>55</v>
      </c>
      <c r="T433" t="s">
        <v>36</v>
      </c>
      <c r="U433" t="s">
        <v>65</v>
      </c>
      <c r="V433">
        <v>31</v>
      </c>
      <c r="W433" t="s">
        <v>109</v>
      </c>
      <c r="X433" t="s">
        <v>237</v>
      </c>
      <c r="Y433" t="s">
        <v>39</v>
      </c>
    </row>
    <row r="434" spans="1:25" x14ac:dyDescent="0.45">
      <c r="A434" t="s">
        <v>1305</v>
      </c>
      <c r="B434" t="s">
        <v>25</v>
      </c>
      <c r="C434" s="3" t="s">
        <v>1099</v>
      </c>
      <c r="D434" s="3">
        <f t="shared" si="12"/>
        <v>44871</v>
      </c>
      <c r="E434" t="s">
        <v>1306</v>
      </c>
      <c r="F434" s="4">
        <f t="shared" si="13"/>
        <v>0.6958333333333333</v>
      </c>
      <c r="G434" t="s">
        <v>654</v>
      </c>
      <c r="H434" t="s">
        <v>30</v>
      </c>
      <c r="I434" t="s">
        <v>43</v>
      </c>
      <c r="J434" t="s">
        <v>44</v>
      </c>
      <c r="K434" t="s">
        <v>1307</v>
      </c>
      <c r="L434" t="s">
        <v>34</v>
      </c>
      <c r="M434">
        <v>7</v>
      </c>
      <c r="N434">
        <v>5</v>
      </c>
      <c r="O434">
        <v>9</v>
      </c>
      <c r="P434">
        <v>9</v>
      </c>
      <c r="Q434">
        <v>4</v>
      </c>
      <c r="R434">
        <v>9</v>
      </c>
      <c r="S434" t="s">
        <v>85</v>
      </c>
      <c r="T434" t="s">
        <v>56</v>
      </c>
      <c r="U434" t="s">
        <v>65</v>
      </c>
      <c r="V434">
        <v>29</v>
      </c>
      <c r="W434" t="s">
        <v>1308</v>
      </c>
      <c r="X434" t="s">
        <v>240</v>
      </c>
      <c r="Y434" t="s">
        <v>58</v>
      </c>
    </row>
    <row r="435" spans="1:25" x14ac:dyDescent="0.45">
      <c r="A435" t="s">
        <v>1309</v>
      </c>
      <c r="B435" t="s">
        <v>25</v>
      </c>
      <c r="C435" s="3" t="s">
        <v>1099</v>
      </c>
      <c r="D435" s="3">
        <f t="shared" si="12"/>
        <v>44871</v>
      </c>
      <c r="E435" t="s">
        <v>950</v>
      </c>
      <c r="F435" s="4">
        <f t="shared" si="13"/>
        <v>0.70277777777777772</v>
      </c>
      <c r="G435" t="s">
        <v>193</v>
      </c>
      <c r="H435" t="s">
        <v>30</v>
      </c>
      <c r="I435" t="s">
        <v>31</v>
      </c>
      <c r="J435" t="s">
        <v>53</v>
      </c>
      <c r="K435" t="s">
        <v>103</v>
      </c>
      <c r="L435" t="s">
        <v>34</v>
      </c>
      <c r="M435">
        <v>5</v>
      </c>
      <c r="N435">
        <v>4</v>
      </c>
      <c r="O435">
        <v>4</v>
      </c>
      <c r="P435">
        <v>5</v>
      </c>
      <c r="Q435">
        <v>7</v>
      </c>
      <c r="R435">
        <v>10</v>
      </c>
      <c r="S435" t="s">
        <v>85</v>
      </c>
      <c r="T435" t="s">
        <v>36</v>
      </c>
      <c r="U435" t="s">
        <v>37</v>
      </c>
      <c r="V435">
        <v>24</v>
      </c>
      <c r="W435" t="s">
        <v>57</v>
      </c>
      <c r="X435" t="s">
        <v>237</v>
      </c>
      <c r="Y435" t="s">
        <v>161</v>
      </c>
    </row>
    <row r="436" spans="1:25" x14ac:dyDescent="0.45">
      <c r="A436" t="s">
        <v>1310</v>
      </c>
      <c r="B436" t="s">
        <v>25</v>
      </c>
      <c r="C436" s="3" t="s">
        <v>1099</v>
      </c>
      <c r="D436" s="3">
        <f t="shared" si="12"/>
        <v>44871</v>
      </c>
      <c r="E436" t="s">
        <v>1311</v>
      </c>
      <c r="F436" s="4">
        <f t="shared" si="13"/>
        <v>0.71180555555555558</v>
      </c>
      <c r="G436" t="s">
        <v>193</v>
      </c>
      <c r="H436" t="s">
        <v>1312</v>
      </c>
      <c r="I436" t="s">
        <v>43</v>
      </c>
      <c r="J436" t="s">
        <v>44</v>
      </c>
      <c r="K436" t="s">
        <v>1313</v>
      </c>
      <c r="L436" t="s">
        <v>34</v>
      </c>
      <c r="M436">
        <v>2</v>
      </c>
      <c r="N436">
        <v>7</v>
      </c>
      <c r="O436">
        <v>6</v>
      </c>
      <c r="P436">
        <v>5</v>
      </c>
      <c r="Q436">
        <v>6</v>
      </c>
      <c r="R436">
        <v>4</v>
      </c>
      <c r="S436" t="s">
        <v>85</v>
      </c>
      <c r="T436" t="s">
        <v>70</v>
      </c>
      <c r="U436" t="s">
        <v>37</v>
      </c>
      <c r="V436">
        <v>36</v>
      </c>
      <c r="W436" t="s">
        <v>38</v>
      </c>
      <c r="X436" t="s">
        <v>240</v>
      </c>
      <c r="Y436" t="s">
        <v>48</v>
      </c>
    </row>
    <row r="437" spans="1:25" x14ac:dyDescent="0.45">
      <c r="A437" t="s">
        <v>1314</v>
      </c>
      <c r="B437" t="s">
        <v>25</v>
      </c>
      <c r="C437" s="3" t="s">
        <v>1099</v>
      </c>
      <c r="D437" s="3">
        <f t="shared" si="12"/>
        <v>44871</v>
      </c>
      <c r="E437" t="s">
        <v>1315</v>
      </c>
      <c r="F437" s="4">
        <f t="shared" si="13"/>
        <v>0.72291666666666665</v>
      </c>
      <c r="G437" t="s">
        <v>358</v>
      </c>
      <c r="H437" t="s">
        <v>30</v>
      </c>
      <c r="I437" t="s">
        <v>31</v>
      </c>
      <c r="J437" t="s">
        <v>44</v>
      </c>
      <c r="K437" t="s">
        <v>712</v>
      </c>
      <c r="L437" t="s">
        <v>46</v>
      </c>
      <c r="M437">
        <v>4</v>
      </c>
      <c r="N437">
        <v>6</v>
      </c>
      <c r="O437">
        <v>6</v>
      </c>
      <c r="P437">
        <v>6</v>
      </c>
      <c r="Q437">
        <v>6</v>
      </c>
      <c r="R437">
        <v>6</v>
      </c>
      <c r="S437" t="s">
        <v>69</v>
      </c>
      <c r="T437" t="s">
        <v>36</v>
      </c>
      <c r="U437" t="s">
        <v>65</v>
      </c>
      <c r="V437">
        <v>32</v>
      </c>
      <c r="W437" t="s">
        <v>38</v>
      </c>
      <c r="X437" t="s">
        <v>240</v>
      </c>
      <c r="Y437" t="s">
        <v>39</v>
      </c>
    </row>
    <row r="438" spans="1:25" x14ac:dyDescent="0.45">
      <c r="A438" t="s">
        <v>1316</v>
      </c>
      <c r="B438" t="s">
        <v>25</v>
      </c>
      <c r="C438" s="3" t="s">
        <v>1099</v>
      </c>
      <c r="D438" s="3">
        <f t="shared" si="12"/>
        <v>44871</v>
      </c>
      <c r="E438" t="s">
        <v>1317</v>
      </c>
      <c r="F438" s="4">
        <f t="shared" si="13"/>
        <v>0.74513888888888891</v>
      </c>
      <c r="G438" t="s">
        <v>217</v>
      </c>
      <c r="H438" t="s">
        <v>266</v>
      </c>
      <c r="I438" t="s">
        <v>31</v>
      </c>
      <c r="J438" t="s">
        <v>87</v>
      </c>
      <c r="K438" t="s">
        <v>33</v>
      </c>
      <c r="L438" t="s">
        <v>34</v>
      </c>
      <c r="M438">
        <v>8</v>
      </c>
      <c r="N438">
        <v>9</v>
      </c>
      <c r="O438">
        <v>7</v>
      </c>
      <c r="P438">
        <v>7</v>
      </c>
      <c r="Q438">
        <v>7</v>
      </c>
      <c r="R438">
        <v>9</v>
      </c>
      <c r="S438" t="s">
        <v>69</v>
      </c>
      <c r="T438" t="s">
        <v>36</v>
      </c>
      <c r="U438" t="s">
        <v>65</v>
      </c>
      <c r="V438">
        <v>36</v>
      </c>
      <c r="W438" t="s">
        <v>38</v>
      </c>
      <c r="X438" t="s">
        <v>237</v>
      </c>
      <c r="Y438" t="s">
        <v>39</v>
      </c>
    </row>
    <row r="439" spans="1:25" x14ac:dyDescent="0.45">
      <c r="A439" t="s">
        <v>1318</v>
      </c>
      <c r="B439" t="s">
        <v>25</v>
      </c>
      <c r="C439" s="3" t="s">
        <v>1099</v>
      </c>
      <c r="D439" s="3">
        <f t="shared" si="12"/>
        <v>44871</v>
      </c>
      <c r="E439" t="s">
        <v>977</v>
      </c>
      <c r="F439" s="4">
        <f t="shared" si="13"/>
        <v>0.75347222222222221</v>
      </c>
      <c r="G439" t="s">
        <v>1209</v>
      </c>
      <c r="H439" t="s">
        <v>52</v>
      </c>
      <c r="I439" t="s">
        <v>43</v>
      </c>
      <c r="J439" t="s">
        <v>32</v>
      </c>
      <c r="K439" t="s">
        <v>33</v>
      </c>
      <c r="L439" t="s">
        <v>84</v>
      </c>
      <c r="M439">
        <v>8</v>
      </c>
      <c r="N439">
        <v>6</v>
      </c>
      <c r="O439">
        <v>5</v>
      </c>
      <c r="P439">
        <v>2</v>
      </c>
      <c r="Q439">
        <v>3</v>
      </c>
      <c r="R439">
        <v>2</v>
      </c>
      <c r="S439" t="s">
        <v>55</v>
      </c>
      <c r="T439" t="s">
        <v>70</v>
      </c>
      <c r="U439" t="s">
        <v>37</v>
      </c>
      <c r="V439">
        <v>30</v>
      </c>
      <c r="W439" t="s">
        <v>38</v>
      </c>
      <c r="X439" t="s">
        <v>237</v>
      </c>
      <c r="Y439" t="s">
        <v>39</v>
      </c>
    </row>
    <row r="440" spans="1:25" x14ac:dyDescent="0.45">
      <c r="A440" t="s">
        <v>1319</v>
      </c>
      <c r="B440" t="s">
        <v>25</v>
      </c>
      <c r="C440" s="3" t="s">
        <v>1099</v>
      </c>
      <c r="D440" s="3">
        <f t="shared" si="12"/>
        <v>44871</v>
      </c>
      <c r="E440" t="s">
        <v>987</v>
      </c>
      <c r="F440" s="4">
        <f t="shared" si="13"/>
        <v>0.77083333333333337</v>
      </c>
      <c r="G440" t="s">
        <v>1320</v>
      </c>
      <c r="H440" t="s">
        <v>123</v>
      </c>
      <c r="I440" t="s">
        <v>31</v>
      </c>
      <c r="J440" t="s">
        <v>53</v>
      </c>
      <c r="K440" t="s">
        <v>1321</v>
      </c>
      <c r="L440" t="s">
        <v>46</v>
      </c>
      <c r="M440">
        <v>0</v>
      </c>
      <c r="N440">
        <v>2</v>
      </c>
      <c r="O440">
        <v>2</v>
      </c>
      <c r="P440">
        <v>3</v>
      </c>
      <c r="Q440">
        <v>3</v>
      </c>
      <c r="R440">
        <v>4</v>
      </c>
      <c r="S440" t="s">
        <v>85</v>
      </c>
      <c r="T440" t="s">
        <v>56</v>
      </c>
      <c r="U440" t="s">
        <v>37</v>
      </c>
      <c r="V440">
        <v>42</v>
      </c>
      <c r="W440" t="s">
        <v>144</v>
      </c>
      <c r="X440" t="s">
        <v>240</v>
      </c>
      <c r="Y440" t="s">
        <v>58</v>
      </c>
    </row>
    <row r="441" spans="1:25" x14ac:dyDescent="0.45">
      <c r="A441" t="s">
        <v>1322</v>
      </c>
      <c r="B441" t="s">
        <v>25</v>
      </c>
      <c r="C441" s="3" t="s">
        <v>1099</v>
      </c>
      <c r="D441" s="3">
        <f t="shared" si="12"/>
        <v>44871</v>
      </c>
      <c r="E441" t="s">
        <v>1323</v>
      </c>
      <c r="F441" s="4">
        <f t="shared" si="13"/>
        <v>0.77986111111111112</v>
      </c>
      <c r="G441" t="s">
        <v>1324</v>
      </c>
      <c r="H441" t="s">
        <v>30</v>
      </c>
      <c r="I441" t="s">
        <v>31</v>
      </c>
      <c r="J441" t="s">
        <v>87</v>
      </c>
      <c r="K441" t="s">
        <v>33</v>
      </c>
      <c r="L441" t="s">
        <v>533</v>
      </c>
      <c r="M441">
        <v>6</v>
      </c>
      <c r="N441">
        <v>6</v>
      </c>
      <c r="O441">
        <v>6</v>
      </c>
      <c r="P441">
        <v>5</v>
      </c>
      <c r="Q441">
        <v>4</v>
      </c>
      <c r="R441">
        <v>4</v>
      </c>
      <c r="S441" t="s">
        <v>55</v>
      </c>
      <c r="T441" t="s">
        <v>36</v>
      </c>
      <c r="U441" t="s">
        <v>37</v>
      </c>
      <c r="V441">
        <v>53</v>
      </c>
      <c r="W441" t="s">
        <v>1325</v>
      </c>
      <c r="X441" t="s">
        <v>324</v>
      </c>
      <c r="Y441" t="s">
        <v>39</v>
      </c>
    </row>
    <row r="442" spans="1:25" x14ac:dyDescent="0.45">
      <c r="A442" t="s">
        <v>1326</v>
      </c>
      <c r="B442" t="s">
        <v>25</v>
      </c>
      <c r="C442" s="3" t="s">
        <v>1099</v>
      </c>
      <c r="D442" s="3">
        <f t="shared" si="12"/>
        <v>44871</v>
      </c>
      <c r="E442" t="s">
        <v>1327</v>
      </c>
      <c r="F442" s="4">
        <f t="shared" si="13"/>
        <v>0.7895833333333333</v>
      </c>
      <c r="G442" t="s">
        <v>1328</v>
      </c>
      <c r="H442" t="s">
        <v>30</v>
      </c>
      <c r="I442" t="s">
        <v>43</v>
      </c>
      <c r="J442" t="s">
        <v>53</v>
      </c>
      <c r="K442" t="s">
        <v>45</v>
      </c>
      <c r="L442" t="s">
        <v>34</v>
      </c>
      <c r="M442">
        <v>1</v>
      </c>
      <c r="N442">
        <v>7</v>
      </c>
      <c r="O442">
        <v>4</v>
      </c>
      <c r="P442">
        <v>10</v>
      </c>
      <c r="Q442">
        <v>10</v>
      </c>
      <c r="R442">
        <v>10</v>
      </c>
      <c r="S442" t="s">
        <v>85</v>
      </c>
      <c r="T442" t="s">
        <v>70</v>
      </c>
      <c r="U442" t="s">
        <v>37</v>
      </c>
      <c r="V442">
        <v>25</v>
      </c>
      <c r="W442" t="s">
        <v>132</v>
      </c>
      <c r="X442" t="s">
        <v>227</v>
      </c>
      <c r="Y442" t="s">
        <v>1329</v>
      </c>
    </row>
    <row r="443" spans="1:25" x14ac:dyDescent="0.45">
      <c r="A443" t="s">
        <v>1330</v>
      </c>
      <c r="B443" t="s">
        <v>25</v>
      </c>
      <c r="C443" s="3" t="s">
        <v>1099</v>
      </c>
      <c r="D443" s="3">
        <f t="shared" si="12"/>
        <v>44871</v>
      </c>
      <c r="E443" t="s">
        <v>1331</v>
      </c>
      <c r="F443" s="4">
        <f t="shared" si="13"/>
        <v>0.79583333333333328</v>
      </c>
      <c r="G443" t="s">
        <v>146</v>
      </c>
      <c r="H443" t="s">
        <v>30</v>
      </c>
      <c r="I443" t="s">
        <v>43</v>
      </c>
      <c r="J443" t="s">
        <v>53</v>
      </c>
      <c r="K443" t="s">
        <v>33</v>
      </c>
      <c r="L443" t="s">
        <v>34</v>
      </c>
      <c r="M443">
        <v>1</v>
      </c>
      <c r="N443">
        <v>5</v>
      </c>
      <c r="O443">
        <v>4</v>
      </c>
      <c r="P443">
        <v>6</v>
      </c>
      <c r="Q443">
        <v>5</v>
      </c>
      <c r="R443">
        <v>6</v>
      </c>
      <c r="S443" t="s">
        <v>85</v>
      </c>
      <c r="T443" t="s">
        <v>70</v>
      </c>
      <c r="U443" t="s">
        <v>37</v>
      </c>
      <c r="V443">
        <v>23</v>
      </c>
      <c r="W443" t="s">
        <v>1332</v>
      </c>
      <c r="X443" t="s">
        <v>237</v>
      </c>
      <c r="Y443" t="s">
        <v>39</v>
      </c>
    </row>
    <row r="444" spans="1:25" x14ac:dyDescent="0.45">
      <c r="A444" t="s">
        <v>1333</v>
      </c>
      <c r="B444" t="s">
        <v>25</v>
      </c>
      <c r="C444" s="3" t="s">
        <v>1099</v>
      </c>
      <c r="D444" s="3">
        <f t="shared" si="12"/>
        <v>44871</v>
      </c>
      <c r="E444" t="s">
        <v>1334</v>
      </c>
      <c r="F444" s="4">
        <f t="shared" si="13"/>
        <v>0.8125</v>
      </c>
      <c r="G444" t="s">
        <v>1335</v>
      </c>
      <c r="H444" t="s">
        <v>30</v>
      </c>
      <c r="I444" t="s">
        <v>31</v>
      </c>
      <c r="J444" t="s">
        <v>53</v>
      </c>
      <c r="K444" t="s">
        <v>794</v>
      </c>
      <c r="L444" t="s">
        <v>34</v>
      </c>
      <c r="M444">
        <v>2</v>
      </c>
      <c r="N444">
        <v>1</v>
      </c>
      <c r="O444">
        <v>3</v>
      </c>
      <c r="P444">
        <v>3</v>
      </c>
      <c r="Q444">
        <v>3</v>
      </c>
      <c r="R444">
        <v>4</v>
      </c>
      <c r="S444" t="s">
        <v>69</v>
      </c>
      <c r="T444" t="s">
        <v>70</v>
      </c>
      <c r="U444" t="s">
        <v>37</v>
      </c>
      <c r="V444">
        <v>36</v>
      </c>
      <c r="W444" t="s">
        <v>1336</v>
      </c>
      <c r="X444" t="s">
        <v>237</v>
      </c>
      <c r="Y444" t="s">
        <v>1337</v>
      </c>
    </row>
    <row r="445" spans="1:25" x14ac:dyDescent="0.45">
      <c r="A445" t="s">
        <v>1338</v>
      </c>
      <c r="B445" t="s">
        <v>25</v>
      </c>
      <c r="C445" s="3" t="s">
        <v>1099</v>
      </c>
      <c r="D445" s="3">
        <f t="shared" si="12"/>
        <v>44871</v>
      </c>
      <c r="E445" t="s">
        <v>1339</v>
      </c>
      <c r="F445" s="4">
        <f t="shared" si="13"/>
        <v>0.81388888888888888</v>
      </c>
      <c r="G445" t="s">
        <v>1340</v>
      </c>
      <c r="H445" t="s">
        <v>30</v>
      </c>
      <c r="I445" t="s">
        <v>31</v>
      </c>
      <c r="J445" t="s">
        <v>44</v>
      </c>
      <c r="K445" t="s">
        <v>33</v>
      </c>
      <c r="L445" t="s">
        <v>1341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>
        <v>6</v>
      </c>
      <c r="S445" t="s">
        <v>55</v>
      </c>
      <c r="T445" t="s">
        <v>56</v>
      </c>
      <c r="U445" t="s">
        <v>37</v>
      </c>
      <c r="V445">
        <v>32</v>
      </c>
      <c r="W445" t="s">
        <v>1342</v>
      </c>
      <c r="X445" t="s">
        <v>237</v>
      </c>
      <c r="Y445" t="s">
        <v>1343</v>
      </c>
    </row>
    <row r="446" spans="1:25" x14ac:dyDescent="0.45">
      <c r="A446" t="s">
        <v>1344</v>
      </c>
      <c r="B446" t="s">
        <v>25</v>
      </c>
      <c r="C446" s="3" t="s">
        <v>1099</v>
      </c>
      <c r="D446" s="3">
        <f t="shared" si="12"/>
        <v>44871</v>
      </c>
      <c r="E446" t="s">
        <v>1345</v>
      </c>
      <c r="F446" s="4">
        <f t="shared" si="13"/>
        <v>0.81736111111111109</v>
      </c>
      <c r="G446" t="s">
        <v>131</v>
      </c>
      <c r="H446" t="s">
        <v>30</v>
      </c>
      <c r="I446" t="s">
        <v>43</v>
      </c>
      <c r="J446" t="s">
        <v>87</v>
      </c>
      <c r="K446" t="s">
        <v>45</v>
      </c>
      <c r="L446" t="s">
        <v>34</v>
      </c>
      <c r="M446">
        <v>3</v>
      </c>
      <c r="N446">
        <v>6</v>
      </c>
      <c r="O446">
        <v>4</v>
      </c>
      <c r="P446">
        <v>2</v>
      </c>
      <c r="Q446">
        <v>2</v>
      </c>
      <c r="R446">
        <v>3</v>
      </c>
      <c r="S446" t="s">
        <v>69</v>
      </c>
      <c r="T446" t="s">
        <v>1346</v>
      </c>
      <c r="U446" t="s">
        <v>37</v>
      </c>
      <c r="V446">
        <v>25</v>
      </c>
      <c r="W446" t="s">
        <v>38</v>
      </c>
      <c r="X446" t="s">
        <v>240</v>
      </c>
      <c r="Y446" t="s">
        <v>91</v>
      </c>
    </row>
    <row r="447" spans="1:25" x14ac:dyDescent="0.45">
      <c r="A447" t="s">
        <v>1347</v>
      </c>
      <c r="B447" t="s">
        <v>25</v>
      </c>
      <c r="C447" s="3" t="s">
        <v>1099</v>
      </c>
      <c r="D447" s="3">
        <f t="shared" si="12"/>
        <v>44871</v>
      </c>
      <c r="E447" t="s">
        <v>1348</v>
      </c>
      <c r="F447" s="4">
        <f t="shared" si="13"/>
        <v>0.87013888888888891</v>
      </c>
      <c r="G447" t="s">
        <v>1024</v>
      </c>
      <c r="H447" t="s">
        <v>52</v>
      </c>
      <c r="I447" t="s">
        <v>31</v>
      </c>
      <c r="J447" t="s">
        <v>44</v>
      </c>
      <c r="K447" t="s">
        <v>103</v>
      </c>
      <c r="L447" t="s">
        <v>34</v>
      </c>
      <c r="M447">
        <v>4</v>
      </c>
      <c r="N447">
        <v>4</v>
      </c>
      <c r="O447">
        <v>3</v>
      </c>
      <c r="P447">
        <v>4</v>
      </c>
      <c r="Q447">
        <v>4</v>
      </c>
      <c r="R447">
        <v>5</v>
      </c>
      <c r="S447" t="s">
        <v>85</v>
      </c>
      <c r="T447" t="s">
        <v>36</v>
      </c>
      <c r="U447" t="s">
        <v>65</v>
      </c>
      <c r="V447">
        <v>35</v>
      </c>
      <c r="W447" t="s">
        <v>109</v>
      </c>
      <c r="X447" t="s">
        <v>240</v>
      </c>
      <c r="Y447" t="s">
        <v>48</v>
      </c>
    </row>
    <row r="448" spans="1:25" x14ac:dyDescent="0.45">
      <c r="A448" t="s">
        <v>1349</v>
      </c>
      <c r="B448" t="s">
        <v>25</v>
      </c>
      <c r="C448" s="3" t="s">
        <v>1099</v>
      </c>
      <c r="D448" s="3">
        <f t="shared" si="12"/>
        <v>44871</v>
      </c>
      <c r="E448" t="s">
        <v>1350</v>
      </c>
      <c r="F448" s="4">
        <f t="shared" si="13"/>
        <v>0.87847222222222221</v>
      </c>
      <c r="G448" t="s">
        <v>322</v>
      </c>
      <c r="H448" t="s">
        <v>30</v>
      </c>
      <c r="I448" t="s">
        <v>31</v>
      </c>
      <c r="J448" t="s">
        <v>94</v>
      </c>
      <c r="K448" t="s">
        <v>1351</v>
      </c>
      <c r="L448" t="s">
        <v>46</v>
      </c>
      <c r="M448">
        <v>3</v>
      </c>
      <c r="N448">
        <v>4</v>
      </c>
      <c r="O448">
        <v>4</v>
      </c>
      <c r="P448">
        <v>5</v>
      </c>
      <c r="Q448">
        <v>4</v>
      </c>
      <c r="R448">
        <v>4</v>
      </c>
      <c r="S448" t="s">
        <v>64</v>
      </c>
      <c r="T448" t="s">
        <v>70</v>
      </c>
      <c r="U448" t="s">
        <v>37</v>
      </c>
      <c r="V448">
        <v>26</v>
      </c>
      <c r="W448" t="s">
        <v>38</v>
      </c>
      <c r="X448" t="s">
        <v>237</v>
      </c>
      <c r="Y448" t="s">
        <v>39</v>
      </c>
    </row>
    <row r="449" spans="1:25" x14ac:dyDescent="0.45">
      <c r="A449" t="s">
        <v>1352</v>
      </c>
      <c r="B449" t="s">
        <v>25</v>
      </c>
      <c r="C449" s="3" t="s">
        <v>1099</v>
      </c>
      <c r="D449" s="3">
        <f t="shared" si="12"/>
        <v>44871</v>
      </c>
      <c r="E449" t="s">
        <v>1353</v>
      </c>
      <c r="F449" s="4">
        <f t="shared" si="13"/>
        <v>0.88055555555555554</v>
      </c>
      <c r="G449" t="s">
        <v>568</v>
      </c>
      <c r="H449" t="s">
        <v>123</v>
      </c>
      <c r="I449" t="s">
        <v>43</v>
      </c>
      <c r="J449" t="s">
        <v>53</v>
      </c>
      <c r="K449" t="s">
        <v>103</v>
      </c>
      <c r="L449" t="s">
        <v>34</v>
      </c>
      <c r="M449">
        <v>2</v>
      </c>
      <c r="N449">
        <v>7</v>
      </c>
      <c r="O449">
        <v>9</v>
      </c>
      <c r="P449">
        <v>7</v>
      </c>
      <c r="Q449">
        <v>3</v>
      </c>
      <c r="R449">
        <v>3</v>
      </c>
      <c r="S449" t="s">
        <v>69</v>
      </c>
      <c r="T449" t="s">
        <v>36</v>
      </c>
      <c r="U449" t="s">
        <v>37</v>
      </c>
      <c r="V449">
        <v>22</v>
      </c>
      <c r="W449" t="s">
        <v>38</v>
      </c>
      <c r="X449" t="s">
        <v>237</v>
      </c>
      <c r="Y449" t="s">
        <v>39</v>
      </c>
    </row>
    <row r="450" spans="1:25" x14ac:dyDescent="0.45">
      <c r="A450" t="s">
        <v>1354</v>
      </c>
      <c r="B450" t="s">
        <v>25</v>
      </c>
      <c r="C450" s="3" t="s">
        <v>1099</v>
      </c>
      <c r="D450" s="3">
        <f t="shared" si="12"/>
        <v>44871</v>
      </c>
      <c r="E450" t="s">
        <v>1355</v>
      </c>
      <c r="F450" s="4">
        <f t="shared" si="13"/>
        <v>0.92569444444444449</v>
      </c>
      <c r="G450" t="s">
        <v>822</v>
      </c>
      <c r="H450" t="s">
        <v>77</v>
      </c>
      <c r="I450" t="s">
        <v>31</v>
      </c>
      <c r="J450" t="s">
        <v>87</v>
      </c>
      <c r="K450" t="s">
        <v>178</v>
      </c>
      <c r="L450" t="s">
        <v>34</v>
      </c>
      <c r="M450">
        <v>6</v>
      </c>
      <c r="N450">
        <v>8</v>
      </c>
      <c r="O450">
        <v>10</v>
      </c>
      <c r="P450">
        <v>9</v>
      </c>
      <c r="Q450">
        <v>6</v>
      </c>
      <c r="R450">
        <v>8</v>
      </c>
      <c r="S450" t="s">
        <v>85</v>
      </c>
      <c r="T450" t="s">
        <v>70</v>
      </c>
      <c r="U450" t="s">
        <v>37</v>
      </c>
      <c r="V450">
        <v>30</v>
      </c>
      <c r="W450" t="s">
        <v>47</v>
      </c>
      <c r="X450" t="s">
        <v>240</v>
      </c>
      <c r="Y450" t="s">
        <v>48</v>
      </c>
    </row>
    <row r="451" spans="1:25" x14ac:dyDescent="0.45">
      <c r="A451" t="s">
        <v>1356</v>
      </c>
      <c r="B451" t="s">
        <v>25</v>
      </c>
      <c r="C451" s="3" t="s">
        <v>1099</v>
      </c>
      <c r="D451" s="3">
        <f t="shared" ref="D451:D514" si="14">DATEVALUE(C451)</f>
        <v>44871</v>
      </c>
      <c r="E451" t="s">
        <v>1357</v>
      </c>
      <c r="F451" s="4">
        <f t="shared" ref="F451:F514" si="15">TIMEVALUE(E451)</f>
        <v>0.93541666666666667</v>
      </c>
      <c r="G451" t="s">
        <v>1358</v>
      </c>
      <c r="H451" t="s">
        <v>30</v>
      </c>
      <c r="I451" t="s">
        <v>31</v>
      </c>
      <c r="J451" t="s">
        <v>94</v>
      </c>
      <c r="K451" t="s">
        <v>555</v>
      </c>
      <c r="L451" t="s">
        <v>34</v>
      </c>
      <c r="M451">
        <v>2</v>
      </c>
      <c r="N451">
        <v>8</v>
      </c>
      <c r="O451">
        <v>6</v>
      </c>
      <c r="P451">
        <v>1</v>
      </c>
      <c r="Q451">
        <v>8</v>
      </c>
      <c r="R451">
        <v>10</v>
      </c>
      <c r="S451" t="s">
        <v>85</v>
      </c>
      <c r="T451" t="s">
        <v>70</v>
      </c>
      <c r="U451" t="s">
        <v>37</v>
      </c>
      <c r="V451">
        <v>36</v>
      </c>
      <c r="W451" t="s">
        <v>38</v>
      </c>
      <c r="X451" t="s">
        <v>240</v>
      </c>
      <c r="Y451" t="s">
        <v>39</v>
      </c>
    </row>
    <row r="452" spans="1:25" x14ac:dyDescent="0.45">
      <c r="A452" t="s">
        <v>1359</v>
      </c>
      <c r="B452" t="s">
        <v>25</v>
      </c>
      <c r="C452" s="3" t="s">
        <v>1099</v>
      </c>
      <c r="D452" s="3">
        <f t="shared" si="14"/>
        <v>44871</v>
      </c>
      <c r="E452" t="s">
        <v>1360</v>
      </c>
      <c r="F452" s="4">
        <f t="shared" si="15"/>
        <v>0.94652777777777775</v>
      </c>
      <c r="G452" t="s">
        <v>1361</v>
      </c>
      <c r="H452" t="s">
        <v>30</v>
      </c>
      <c r="I452" t="s">
        <v>31</v>
      </c>
      <c r="J452" t="s">
        <v>94</v>
      </c>
      <c r="K452" t="s">
        <v>33</v>
      </c>
      <c r="L452" t="s">
        <v>46</v>
      </c>
      <c r="M452">
        <v>4</v>
      </c>
      <c r="N452">
        <v>4</v>
      </c>
      <c r="O452">
        <v>5</v>
      </c>
      <c r="P452">
        <v>5</v>
      </c>
      <c r="Q452">
        <v>4</v>
      </c>
      <c r="R452">
        <v>6</v>
      </c>
      <c r="S452" t="s">
        <v>85</v>
      </c>
      <c r="T452" t="s">
        <v>1362</v>
      </c>
      <c r="U452" t="s">
        <v>65</v>
      </c>
      <c r="V452">
        <v>30</v>
      </c>
      <c r="W452" t="s">
        <v>38</v>
      </c>
      <c r="X452" t="s">
        <v>240</v>
      </c>
      <c r="Y452" t="s">
        <v>39</v>
      </c>
    </row>
    <row r="453" spans="1:25" x14ac:dyDescent="0.45">
      <c r="A453" t="s">
        <v>1363</v>
      </c>
      <c r="B453" t="s">
        <v>25</v>
      </c>
      <c r="C453" s="3" t="s">
        <v>1099</v>
      </c>
      <c r="D453" s="3">
        <f t="shared" si="14"/>
        <v>44871</v>
      </c>
      <c r="E453" t="s">
        <v>1364</v>
      </c>
      <c r="F453" s="4">
        <f t="shared" si="15"/>
        <v>0.96111111111111114</v>
      </c>
      <c r="G453" t="s">
        <v>135</v>
      </c>
      <c r="H453" t="s">
        <v>77</v>
      </c>
      <c r="I453" t="s">
        <v>31</v>
      </c>
      <c r="J453" t="s">
        <v>32</v>
      </c>
      <c r="K453" t="s">
        <v>45</v>
      </c>
      <c r="L453" t="s">
        <v>34</v>
      </c>
      <c r="M453">
        <v>9</v>
      </c>
      <c r="N453">
        <v>8</v>
      </c>
      <c r="O453">
        <v>10</v>
      </c>
      <c r="P453">
        <v>10</v>
      </c>
      <c r="Q453">
        <v>10</v>
      </c>
      <c r="R453">
        <v>10</v>
      </c>
      <c r="S453" t="s">
        <v>69</v>
      </c>
      <c r="T453" t="s">
        <v>36</v>
      </c>
      <c r="U453" t="s">
        <v>37</v>
      </c>
      <c r="V453">
        <v>29</v>
      </c>
      <c r="W453" t="s">
        <v>38</v>
      </c>
      <c r="X453" t="s">
        <v>237</v>
      </c>
      <c r="Y453" t="s">
        <v>48</v>
      </c>
    </row>
    <row r="454" spans="1:25" x14ac:dyDescent="0.45">
      <c r="A454" t="s">
        <v>1365</v>
      </c>
      <c r="B454" t="s">
        <v>25</v>
      </c>
      <c r="C454" s="3" t="s">
        <v>1099</v>
      </c>
      <c r="D454" s="3">
        <f t="shared" si="14"/>
        <v>44871</v>
      </c>
      <c r="E454" t="s">
        <v>1079</v>
      </c>
      <c r="F454" s="4">
        <f t="shared" si="15"/>
        <v>0.97083333333333333</v>
      </c>
      <c r="G454" t="s">
        <v>1366</v>
      </c>
      <c r="H454" t="s">
        <v>1367</v>
      </c>
      <c r="I454" t="s">
        <v>31</v>
      </c>
      <c r="J454" t="s">
        <v>94</v>
      </c>
      <c r="K454" t="s">
        <v>1368</v>
      </c>
      <c r="L454" t="s">
        <v>46</v>
      </c>
      <c r="M454">
        <v>8</v>
      </c>
      <c r="N454">
        <v>10</v>
      </c>
      <c r="O454">
        <v>10</v>
      </c>
      <c r="P454">
        <v>7</v>
      </c>
      <c r="Q454">
        <v>8</v>
      </c>
      <c r="R454">
        <v>5</v>
      </c>
      <c r="S454" t="s">
        <v>69</v>
      </c>
      <c r="T454" t="s">
        <v>1369</v>
      </c>
      <c r="U454" t="s">
        <v>37</v>
      </c>
      <c r="V454">
        <v>30</v>
      </c>
      <c r="W454" t="s">
        <v>38</v>
      </c>
      <c r="X454" t="s">
        <v>240</v>
      </c>
      <c r="Y454" t="s">
        <v>39</v>
      </c>
    </row>
    <row r="455" spans="1:25" x14ac:dyDescent="0.45">
      <c r="A455" t="s">
        <v>1370</v>
      </c>
      <c r="B455" t="s">
        <v>25</v>
      </c>
      <c r="C455" s="3" t="s">
        <v>1099</v>
      </c>
      <c r="D455" s="3">
        <f t="shared" si="14"/>
        <v>44871</v>
      </c>
      <c r="E455" t="s">
        <v>1371</v>
      </c>
      <c r="F455" s="4">
        <f t="shared" si="15"/>
        <v>0.98541666666666672</v>
      </c>
      <c r="G455" t="s">
        <v>283</v>
      </c>
      <c r="H455" t="s">
        <v>52</v>
      </c>
      <c r="I455" t="s">
        <v>43</v>
      </c>
      <c r="J455" t="s">
        <v>44</v>
      </c>
      <c r="K455" t="s">
        <v>45</v>
      </c>
      <c r="L455" t="s">
        <v>34</v>
      </c>
      <c r="M455">
        <v>0</v>
      </c>
      <c r="N455">
        <v>6</v>
      </c>
      <c r="O455">
        <v>6</v>
      </c>
      <c r="P455">
        <v>6</v>
      </c>
      <c r="Q455">
        <v>6</v>
      </c>
      <c r="R455">
        <v>6</v>
      </c>
      <c r="S455" t="s">
        <v>64</v>
      </c>
      <c r="T455" t="s">
        <v>70</v>
      </c>
      <c r="U455" t="s">
        <v>37</v>
      </c>
      <c r="V455">
        <v>24</v>
      </c>
      <c r="W455" t="s">
        <v>38</v>
      </c>
      <c r="X455" t="s">
        <v>237</v>
      </c>
      <c r="Y455" t="s">
        <v>58</v>
      </c>
    </row>
    <row r="456" spans="1:25" x14ac:dyDescent="0.45">
      <c r="A456" t="s">
        <v>1372</v>
      </c>
      <c r="B456" t="s">
        <v>25</v>
      </c>
      <c r="C456" s="3" t="s">
        <v>1373</v>
      </c>
      <c r="D456" s="3">
        <f t="shared" si="14"/>
        <v>44901</v>
      </c>
      <c r="E456" t="s">
        <v>1374</v>
      </c>
      <c r="F456" s="4">
        <f t="shared" si="15"/>
        <v>2.013888888888889E-2</v>
      </c>
      <c r="G456" t="s">
        <v>171</v>
      </c>
      <c r="H456" t="s">
        <v>52</v>
      </c>
      <c r="I456" t="s">
        <v>31</v>
      </c>
      <c r="J456" t="s">
        <v>1184</v>
      </c>
      <c r="K456" t="s">
        <v>103</v>
      </c>
      <c r="L456" t="s">
        <v>318</v>
      </c>
      <c r="M456">
        <v>3</v>
      </c>
      <c r="N456">
        <v>3</v>
      </c>
      <c r="O456">
        <v>4</v>
      </c>
      <c r="P456">
        <v>4</v>
      </c>
      <c r="Q456">
        <v>3</v>
      </c>
      <c r="R456">
        <v>5</v>
      </c>
      <c r="S456" t="s">
        <v>85</v>
      </c>
      <c r="T456" t="s">
        <v>70</v>
      </c>
      <c r="U456" t="s">
        <v>37</v>
      </c>
      <c r="V456">
        <v>33</v>
      </c>
      <c r="W456" t="s">
        <v>38</v>
      </c>
      <c r="X456" t="s">
        <v>237</v>
      </c>
      <c r="Y456" t="s">
        <v>48</v>
      </c>
    </row>
    <row r="457" spans="1:25" x14ac:dyDescent="0.45">
      <c r="A457" t="s">
        <v>1375</v>
      </c>
      <c r="B457" t="s">
        <v>25</v>
      </c>
      <c r="C457" s="3" t="s">
        <v>1373</v>
      </c>
      <c r="D457" s="3">
        <f t="shared" si="14"/>
        <v>44901</v>
      </c>
      <c r="E457" t="s">
        <v>1376</v>
      </c>
      <c r="F457" s="4">
        <f t="shared" si="15"/>
        <v>3.6111111111111108E-2</v>
      </c>
      <c r="G457" t="s">
        <v>171</v>
      </c>
      <c r="H457" t="s">
        <v>30</v>
      </c>
      <c r="I457" t="s">
        <v>43</v>
      </c>
      <c r="J457" t="s">
        <v>32</v>
      </c>
      <c r="K457" t="s">
        <v>1377</v>
      </c>
      <c r="L457" t="s">
        <v>34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6</v>
      </c>
      <c r="S457" t="s">
        <v>55</v>
      </c>
      <c r="T457" t="s">
        <v>70</v>
      </c>
      <c r="U457" t="s">
        <v>65</v>
      </c>
      <c r="V457">
        <v>42</v>
      </c>
      <c r="W457" t="s">
        <v>38</v>
      </c>
      <c r="X457" t="s">
        <v>237</v>
      </c>
      <c r="Y457" t="s">
        <v>39</v>
      </c>
    </row>
    <row r="458" spans="1:25" x14ac:dyDescent="0.45">
      <c r="A458" t="s">
        <v>1378</v>
      </c>
      <c r="B458" t="s">
        <v>25</v>
      </c>
      <c r="C458" s="3" t="s">
        <v>1373</v>
      </c>
      <c r="D458" s="3">
        <f t="shared" si="14"/>
        <v>44901</v>
      </c>
      <c r="E458" t="s">
        <v>1379</v>
      </c>
      <c r="F458" s="4">
        <f t="shared" si="15"/>
        <v>4.027777777777778E-2</v>
      </c>
      <c r="G458" t="s">
        <v>731</v>
      </c>
      <c r="H458" t="s">
        <v>30</v>
      </c>
      <c r="I458" t="s">
        <v>31</v>
      </c>
      <c r="J458" t="s">
        <v>44</v>
      </c>
      <c r="K458" t="s">
        <v>33</v>
      </c>
      <c r="L458" t="s">
        <v>34</v>
      </c>
      <c r="M458">
        <v>1</v>
      </c>
      <c r="N458">
        <v>10</v>
      </c>
      <c r="O458">
        <v>10</v>
      </c>
      <c r="P458">
        <v>8</v>
      </c>
      <c r="Q458">
        <v>10</v>
      </c>
      <c r="R458">
        <v>3</v>
      </c>
      <c r="S458" t="s">
        <v>85</v>
      </c>
      <c r="T458" t="s">
        <v>70</v>
      </c>
      <c r="U458" t="s">
        <v>65</v>
      </c>
      <c r="V458">
        <v>36</v>
      </c>
      <c r="W458" t="s">
        <v>38</v>
      </c>
      <c r="X458" t="s">
        <v>237</v>
      </c>
      <c r="Y458" t="s">
        <v>39</v>
      </c>
    </row>
    <row r="459" spans="1:25" x14ac:dyDescent="0.45">
      <c r="A459" t="s">
        <v>1380</v>
      </c>
      <c r="B459" t="s">
        <v>25</v>
      </c>
      <c r="C459" s="3" t="s">
        <v>1373</v>
      </c>
      <c r="D459" s="3">
        <f t="shared" si="14"/>
        <v>44901</v>
      </c>
      <c r="E459" t="s">
        <v>1381</v>
      </c>
      <c r="F459" s="4">
        <f t="shared" si="15"/>
        <v>4.7222222222222221E-2</v>
      </c>
      <c r="G459" t="s">
        <v>822</v>
      </c>
      <c r="H459" t="s">
        <v>30</v>
      </c>
      <c r="I459" t="s">
        <v>31</v>
      </c>
      <c r="J459" t="s">
        <v>44</v>
      </c>
      <c r="K459" t="s">
        <v>1382</v>
      </c>
      <c r="L459" t="s">
        <v>34</v>
      </c>
      <c r="M459">
        <v>2</v>
      </c>
      <c r="N459">
        <v>3</v>
      </c>
      <c r="O459">
        <v>7</v>
      </c>
      <c r="P459">
        <v>6</v>
      </c>
      <c r="Q459">
        <v>5</v>
      </c>
      <c r="R459">
        <v>6</v>
      </c>
      <c r="S459" t="s">
        <v>85</v>
      </c>
      <c r="T459" t="s">
        <v>70</v>
      </c>
      <c r="U459" t="s">
        <v>37</v>
      </c>
      <c r="V459">
        <v>27</v>
      </c>
      <c r="W459" t="s">
        <v>38</v>
      </c>
      <c r="X459" t="s">
        <v>237</v>
      </c>
      <c r="Y459" t="s">
        <v>39</v>
      </c>
    </row>
    <row r="460" spans="1:25" x14ac:dyDescent="0.45">
      <c r="A460" t="s">
        <v>1383</v>
      </c>
      <c r="B460" t="s">
        <v>25</v>
      </c>
      <c r="C460" s="3" t="s">
        <v>1373</v>
      </c>
      <c r="D460" s="3">
        <f t="shared" si="14"/>
        <v>44901</v>
      </c>
      <c r="E460" t="s">
        <v>1384</v>
      </c>
      <c r="F460" s="4">
        <f t="shared" si="15"/>
        <v>0.11319444444444444</v>
      </c>
      <c r="G460" t="s">
        <v>135</v>
      </c>
      <c r="H460" t="s">
        <v>30</v>
      </c>
      <c r="I460" t="s">
        <v>43</v>
      </c>
      <c r="J460" t="s">
        <v>53</v>
      </c>
      <c r="K460" t="s">
        <v>103</v>
      </c>
      <c r="L460" t="s">
        <v>34</v>
      </c>
      <c r="M460">
        <v>8</v>
      </c>
      <c r="N460">
        <v>7</v>
      </c>
      <c r="O460">
        <v>8</v>
      </c>
      <c r="P460">
        <v>7</v>
      </c>
      <c r="Q460">
        <v>7</v>
      </c>
      <c r="R460">
        <v>9</v>
      </c>
      <c r="S460" t="s">
        <v>55</v>
      </c>
      <c r="T460" t="s">
        <v>1385</v>
      </c>
      <c r="U460" t="s">
        <v>65</v>
      </c>
      <c r="V460">
        <v>21</v>
      </c>
      <c r="W460" t="s">
        <v>147</v>
      </c>
      <c r="X460" t="s">
        <v>237</v>
      </c>
      <c r="Y460" t="s">
        <v>48</v>
      </c>
    </row>
    <row r="461" spans="1:25" x14ac:dyDescent="0.45">
      <c r="A461" t="s">
        <v>1386</v>
      </c>
      <c r="B461" t="s">
        <v>25</v>
      </c>
      <c r="C461" s="3" t="s">
        <v>1373</v>
      </c>
      <c r="D461" s="3">
        <f t="shared" si="14"/>
        <v>44901</v>
      </c>
      <c r="E461" t="s">
        <v>1387</v>
      </c>
      <c r="F461" s="4">
        <f t="shared" si="15"/>
        <v>0.11944444444444445</v>
      </c>
      <c r="G461" t="s">
        <v>615</v>
      </c>
      <c r="H461" t="s">
        <v>30</v>
      </c>
      <c r="I461" t="s">
        <v>31</v>
      </c>
      <c r="J461" t="s">
        <v>44</v>
      </c>
      <c r="K461" t="s">
        <v>33</v>
      </c>
      <c r="L461" t="s">
        <v>34</v>
      </c>
      <c r="M461">
        <v>8</v>
      </c>
      <c r="N461">
        <v>5</v>
      </c>
      <c r="O461">
        <v>8</v>
      </c>
      <c r="P461">
        <v>8</v>
      </c>
      <c r="Q461">
        <v>5</v>
      </c>
      <c r="R461">
        <v>10</v>
      </c>
      <c r="S461" t="s">
        <v>69</v>
      </c>
      <c r="T461" t="s">
        <v>36</v>
      </c>
      <c r="U461" t="s">
        <v>65</v>
      </c>
      <c r="V461">
        <v>34</v>
      </c>
      <c r="W461" t="s">
        <v>558</v>
      </c>
      <c r="X461" t="s">
        <v>240</v>
      </c>
      <c r="Y461" t="s">
        <v>39</v>
      </c>
    </row>
    <row r="462" spans="1:25" x14ac:dyDescent="0.45">
      <c r="A462" t="s">
        <v>1388</v>
      </c>
      <c r="B462" t="s">
        <v>25</v>
      </c>
      <c r="C462" s="3" t="s">
        <v>1373</v>
      </c>
      <c r="D462" s="3">
        <f t="shared" si="14"/>
        <v>44901</v>
      </c>
      <c r="E462" t="s">
        <v>1389</v>
      </c>
      <c r="F462" s="4">
        <f t="shared" si="15"/>
        <v>0.12708333333333333</v>
      </c>
      <c r="G462" t="s">
        <v>154</v>
      </c>
      <c r="H462" t="s">
        <v>123</v>
      </c>
      <c r="I462" t="s">
        <v>43</v>
      </c>
      <c r="J462" t="s">
        <v>53</v>
      </c>
      <c r="K462" t="s">
        <v>108</v>
      </c>
      <c r="L462" t="s">
        <v>34</v>
      </c>
      <c r="M462">
        <v>2</v>
      </c>
      <c r="N462">
        <v>5</v>
      </c>
      <c r="O462">
        <v>5</v>
      </c>
      <c r="P462">
        <v>5</v>
      </c>
      <c r="Q462">
        <v>2</v>
      </c>
      <c r="R462">
        <v>4</v>
      </c>
      <c r="S462" t="s">
        <v>69</v>
      </c>
      <c r="T462" t="s">
        <v>70</v>
      </c>
      <c r="U462" t="s">
        <v>37</v>
      </c>
      <c r="V462">
        <v>27</v>
      </c>
      <c r="W462" t="s">
        <v>319</v>
      </c>
      <c r="X462" t="s">
        <v>237</v>
      </c>
      <c r="Y462" t="s">
        <v>39</v>
      </c>
    </row>
    <row r="463" spans="1:25" x14ac:dyDescent="0.45">
      <c r="A463" t="s">
        <v>1390</v>
      </c>
      <c r="B463" t="s">
        <v>25</v>
      </c>
      <c r="C463" s="3" t="s">
        <v>1373</v>
      </c>
      <c r="D463" s="3">
        <f t="shared" si="14"/>
        <v>44901</v>
      </c>
      <c r="E463" t="s">
        <v>1391</v>
      </c>
      <c r="F463" s="4">
        <f t="shared" si="15"/>
        <v>0.15625</v>
      </c>
      <c r="G463" t="s">
        <v>254</v>
      </c>
      <c r="H463" t="s">
        <v>1392</v>
      </c>
      <c r="I463" t="s">
        <v>31</v>
      </c>
      <c r="J463" t="s">
        <v>53</v>
      </c>
      <c r="K463" t="s">
        <v>103</v>
      </c>
      <c r="L463" t="s">
        <v>34</v>
      </c>
      <c r="M463">
        <v>7</v>
      </c>
      <c r="N463">
        <v>8</v>
      </c>
      <c r="O463">
        <v>8</v>
      </c>
      <c r="P463">
        <v>8</v>
      </c>
      <c r="Q463">
        <v>8</v>
      </c>
      <c r="R463">
        <v>7</v>
      </c>
      <c r="S463" t="s">
        <v>85</v>
      </c>
      <c r="T463" t="s">
        <v>114</v>
      </c>
      <c r="U463" t="s">
        <v>37</v>
      </c>
      <c r="V463">
        <v>27</v>
      </c>
      <c r="W463" t="s">
        <v>289</v>
      </c>
      <c r="X463" t="s">
        <v>240</v>
      </c>
      <c r="Y463" t="s">
        <v>39</v>
      </c>
    </row>
    <row r="464" spans="1:25" x14ac:dyDescent="0.45">
      <c r="A464" t="s">
        <v>1393</v>
      </c>
      <c r="B464" t="s">
        <v>25</v>
      </c>
      <c r="C464" s="3" t="s">
        <v>1373</v>
      </c>
      <c r="D464" s="3">
        <f t="shared" si="14"/>
        <v>44901</v>
      </c>
      <c r="E464" t="s">
        <v>1394</v>
      </c>
      <c r="F464" s="4">
        <f t="shared" si="15"/>
        <v>0.16597222222222222</v>
      </c>
      <c r="G464" t="s">
        <v>736</v>
      </c>
      <c r="H464" t="s">
        <v>123</v>
      </c>
      <c r="I464" t="s">
        <v>43</v>
      </c>
      <c r="J464" t="s">
        <v>53</v>
      </c>
      <c r="K464" t="s">
        <v>108</v>
      </c>
      <c r="L464" t="s">
        <v>46</v>
      </c>
      <c r="M464">
        <v>1</v>
      </c>
      <c r="N464">
        <v>1</v>
      </c>
      <c r="O464">
        <v>2</v>
      </c>
      <c r="P464">
        <v>1</v>
      </c>
      <c r="Q464">
        <v>0</v>
      </c>
      <c r="R464">
        <v>3</v>
      </c>
      <c r="S464" t="s">
        <v>85</v>
      </c>
      <c r="T464" t="s">
        <v>56</v>
      </c>
      <c r="U464" t="s">
        <v>37</v>
      </c>
      <c r="V464">
        <v>30</v>
      </c>
      <c r="W464" t="s">
        <v>132</v>
      </c>
      <c r="X464" t="s">
        <v>262</v>
      </c>
      <c r="Y464" t="s">
        <v>648</v>
      </c>
    </row>
    <row r="465" spans="1:25" x14ac:dyDescent="0.45">
      <c r="A465" t="s">
        <v>1395</v>
      </c>
      <c r="B465" t="s">
        <v>25</v>
      </c>
      <c r="C465" s="3" t="s">
        <v>1373</v>
      </c>
      <c r="D465" s="3">
        <f t="shared" si="14"/>
        <v>44901</v>
      </c>
      <c r="E465" t="s">
        <v>1396</v>
      </c>
      <c r="F465" s="4">
        <f t="shared" si="15"/>
        <v>0.16666666666666666</v>
      </c>
      <c r="G465" t="s">
        <v>93</v>
      </c>
      <c r="H465" t="s">
        <v>30</v>
      </c>
      <c r="I465" t="s">
        <v>31</v>
      </c>
      <c r="J465" t="s">
        <v>94</v>
      </c>
      <c r="K465" t="s">
        <v>1397</v>
      </c>
      <c r="L465" t="s">
        <v>84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2</v>
      </c>
      <c r="S465" t="s">
        <v>69</v>
      </c>
      <c r="T465" t="s">
        <v>70</v>
      </c>
      <c r="U465" t="s">
        <v>65</v>
      </c>
      <c r="V465">
        <v>33</v>
      </c>
      <c r="W465" t="s">
        <v>38</v>
      </c>
      <c r="X465" t="s">
        <v>237</v>
      </c>
      <c r="Y465" t="s">
        <v>39</v>
      </c>
    </row>
    <row r="466" spans="1:25" x14ac:dyDescent="0.45">
      <c r="A466" t="s">
        <v>1398</v>
      </c>
      <c r="B466" t="s">
        <v>25</v>
      </c>
      <c r="C466" s="3" t="s">
        <v>1373</v>
      </c>
      <c r="D466" s="3">
        <f t="shared" si="14"/>
        <v>44901</v>
      </c>
      <c r="E466" t="s">
        <v>1399</v>
      </c>
      <c r="F466" s="4">
        <f t="shared" si="15"/>
        <v>0.17847222222222223</v>
      </c>
      <c r="G466" t="s">
        <v>229</v>
      </c>
      <c r="H466" t="s">
        <v>30</v>
      </c>
      <c r="I466" t="s">
        <v>31</v>
      </c>
      <c r="J466" t="s">
        <v>87</v>
      </c>
      <c r="K466" t="s">
        <v>45</v>
      </c>
      <c r="L466" t="s">
        <v>34</v>
      </c>
      <c r="M466">
        <v>3</v>
      </c>
      <c r="N466">
        <v>3</v>
      </c>
      <c r="O466">
        <v>4</v>
      </c>
      <c r="P466">
        <v>4</v>
      </c>
      <c r="Q466">
        <v>4</v>
      </c>
      <c r="R466">
        <v>4</v>
      </c>
      <c r="S466" t="s">
        <v>69</v>
      </c>
      <c r="T466" t="s">
        <v>114</v>
      </c>
      <c r="U466" t="s">
        <v>37</v>
      </c>
      <c r="V466">
        <v>47</v>
      </c>
      <c r="W466" t="s">
        <v>147</v>
      </c>
      <c r="X466" t="s">
        <v>240</v>
      </c>
      <c r="Y466" t="s">
        <v>1400</v>
      </c>
    </row>
    <row r="467" spans="1:25" x14ac:dyDescent="0.45">
      <c r="A467" t="s">
        <v>1401</v>
      </c>
      <c r="B467" t="s">
        <v>25</v>
      </c>
      <c r="C467" s="3" t="s">
        <v>1373</v>
      </c>
      <c r="D467" s="3">
        <f t="shared" si="14"/>
        <v>44901</v>
      </c>
      <c r="E467" t="s">
        <v>1402</v>
      </c>
      <c r="F467" s="4">
        <f t="shared" si="15"/>
        <v>0.18819444444444444</v>
      </c>
      <c r="G467" t="s">
        <v>157</v>
      </c>
      <c r="H467" t="s">
        <v>30</v>
      </c>
      <c r="I467" t="s">
        <v>31</v>
      </c>
      <c r="J467" t="s">
        <v>94</v>
      </c>
      <c r="K467" t="s">
        <v>83</v>
      </c>
      <c r="L467" t="s">
        <v>84</v>
      </c>
      <c r="M467">
        <v>4</v>
      </c>
      <c r="N467">
        <v>5</v>
      </c>
      <c r="O467">
        <v>4</v>
      </c>
      <c r="P467">
        <v>5</v>
      </c>
      <c r="Q467">
        <v>4</v>
      </c>
      <c r="R467">
        <v>4</v>
      </c>
      <c r="S467" t="s">
        <v>69</v>
      </c>
      <c r="T467" t="s">
        <v>1403</v>
      </c>
      <c r="U467" t="s">
        <v>37</v>
      </c>
      <c r="V467">
        <v>27</v>
      </c>
      <c r="W467" t="s">
        <v>38</v>
      </c>
      <c r="X467" t="s">
        <v>240</v>
      </c>
      <c r="Y467" t="s">
        <v>48</v>
      </c>
    </row>
    <row r="468" spans="1:25" x14ac:dyDescent="0.45">
      <c r="A468" t="s">
        <v>1404</v>
      </c>
      <c r="B468" t="s">
        <v>25</v>
      </c>
      <c r="C468" s="3" t="s">
        <v>1373</v>
      </c>
      <c r="D468" s="3">
        <f t="shared" si="14"/>
        <v>44901</v>
      </c>
      <c r="E468" t="s">
        <v>1405</v>
      </c>
      <c r="F468" s="4">
        <f t="shared" si="15"/>
        <v>0.20277777777777778</v>
      </c>
      <c r="G468" t="s">
        <v>1024</v>
      </c>
      <c r="H468" t="s">
        <v>30</v>
      </c>
      <c r="I468" t="s">
        <v>43</v>
      </c>
      <c r="J468" t="s">
        <v>53</v>
      </c>
      <c r="K468" t="s">
        <v>33</v>
      </c>
      <c r="L468" t="s">
        <v>34</v>
      </c>
      <c r="M468">
        <v>6</v>
      </c>
      <c r="N468">
        <v>7</v>
      </c>
      <c r="O468">
        <v>8</v>
      </c>
      <c r="P468">
        <v>7</v>
      </c>
      <c r="Q468">
        <v>6</v>
      </c>
      <c r="R468">
        <v>7</v>
      </c>
      <c r="S468" t="s">
        <v>85</v>
      </c>
      <c r="T468" t="s">
        <v>70</v>
      </c>
      <c r="U468" t="s">
        <v>37</v>
      </c>
      <c r="V468">
        <v>26</v>
      </c>
      <c r="W468" t="s">
        <v>147</v>
      </c>
      <c r="X468" t="s">
        <v>237</v>
      </c>
      <c r="Y468" t="s">
        <v>48</v>
      </c>
    </row>
    <row r="469" spans="1:25" x14ac:dyDescent="0.45">
      <c r="A469" t="s">
        <v>1406</v>
      </c>
      <c r="B469" t="s">
        <v>25</v>
      </c>
      <c r="C469" s="3" t="s">
        <v>1373</v>
      </c>
      <c r="D469" s="3">
        <f t="shared" si="14"/>
        <v>44901</v>
      </c>
      <c r="E469" t="s">
        <v>1407</v>
      </c>
      <c r="F469" s="4">
        <f t="shared" si="15"/>
        <v>0.26597222222222222</v>
      </c>
      <c r="G469" t="s">
        <v>333</v>
      </c>
      <c r="H469" t="s">
        <v>30</v>
      </c>
      <c r="I469" t="s">
        <v>43</v>
      </c>
      <c r="J469" t="s">
        <v>53</v>
      </c>
      <c r="K469" t="s">
        <v>45</v>
      </c>
      <c r="L469" t="s">
        <v>34</v>
      </c>
      <c r="M469">
        <v>2</v>
      </c>
      <c r="N469">
        <v>3</v>
      </c>
      <c r="O469">
        <v>2</v>
      </c>
      <c r="P469">
        <v>5</v>
      </c>
      <c r="Q469">
        <v>5</v>
      </c>
      <c r="R469">
        <v>6</v>
      </c>
      <c r="S469" t="s">
        <v>85</v>
      </c>
      <c r="T469" t="s">
        <v>36</v>
      </c>
      <c r="U469" t="s">
        <v>65</v>
      </c>
      <c r="V469">
        <v>35</v>
      </c>
      <c r="W469" t="s">
        <v>147</v>
      </c>
      <c r="X469" t="s">
        <v>240</v>
      </c>
      <c r="Y469" t="s">
        <v>48</v>
      </c>
    </row>
    <row r="470" spans="1:25" x14ac:dyDescent="0.45">
      <c r="A470" t="s">
        <v>1408</v>
      </c>
      <c r="B470" t="s">
        <v>25</v>
      </c>
      <c r="C470" s="3" t="s">
        <v>1373</v>
      </c>
      <c r="D470" s="3">
        <f t="shared" si="14"/>
        <v>44901</v>
      </c>
      <c r="E470" t="s">
        <v>1409</v>
      </c>
      <c r="F470" s="4">
        <f t="shared" si="15"/>
        <v>0.28611111111111109</v>
      </c>
      <c r="G470" t="s">
        <v>215</v>
      </c>
      <c r="H470" t="s">
        <v>30</v>
      </c>
      <c r="I470" t="s">
        <v>31</v>
      </c>
      <c r="J470" t="s">
        <v>87</v>
      </c>
      <c r="K470" t="s">
        <v>108</v>
      </c>
      <c r="L470" t="s">
        <v>34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 t="s">
        <v>85</v>
      </c>
      <c r="T470" t="s">
        <v>114</v>
      </c>
      <c r="U470" t="s">
        <v>37</v>
      </c>
      <c r="V470">
        <v>31</v>
      </c>
      <c r="W470" t="s">
        <v>38</v>
      </c>
      <c r="X470" t="s">
        <v>240</v>
      </c>
      <c r="Y470" t="s">
        <v>91</v>
      </c>
    </row>
    <row r="471" spans="1:25" x14ac:dyDescent="0.45">
      <c r="A471" t="s">
        <v>1410</v>
      </c>
      <c r="B471" t="s">
        <v>25</v>
      </c>
      <c r="C471" s="3" t="s">
        <v>1373</v>
      </c>
      <c r="D471" s="3">
        <f t="shared" si="14"/>
        <v>44901</v>
      </c>
      <c r="E471" t="s">
        <v>1411</v>
      </c>
      <c r="F471" s="4">
        <f t="shared" si="15"/>
        <v>0.30277777777777776</v>
      </c>
      <c r="G471" t="s">
        <v>1412</v>
      </c>
      <c r="H471" t="s">
        <v>30</v>
      </c>
      <c r="I471" t="s">
        <v>31</v>
      </c>
      <c r="J471" t="s">
        <v>53</v>
      </c>
      <c r="K471" t="s">
        <v>108</v>
      </c>
      <c r="L471" t="s">
        <v>34</v>
      </c>
      <c r="M471">
        <v>2</v>
      </c>
      <c r="N471">
        <v>1</v>
      </c>
      <c r="O471">
        <v>2</v>
      </c>
      <c r="P471">
        <v>3</v>
      </c>
      <c r="Q471">
        <v>4</v>
      </c>
      <c r="R471">
        <v>3</v>
      </c>
      <c r="S471" t="s">
        <v>69</v>
      </c>
      <c r="T471" t="s">
        <v>36</v>
      </c>
      <c r="U471" t="s">
        <v>37</v>
      </c>
      <c r="V471">
        <v>25</v>
      </c>
      <c r="W471" t="s">
        <v>1413</v>
      </c>
      <c r="X471" t="s">
        <v>237</v>
      </c>
      <c r="Y471" t="s">
        <v>58</v>
      </c>
    </row>
    <row r="472" spans="1:25" x14ac:dyDescent="0.45">
      <c r="A472" t="s">
        <v>1414</v>
      </c>
      <c r="B472" t="s">
        <v>25</v>
      </c>
      <c r="C472" s="3" t="s">
        <v>1373</v>
      </c>
      <c r="D472" s="3">
        <f t="shared" si="14"/>
        <v>44901</v>
      </c>
      <c r="E472" t="s">
        <v>1415</v>
      </c>
      <c r="F472" s="4">
        <f t="shared" si="15"/>
        <v>0.30416666666666664</v>
      </c>
      <c r="G472" t="s">
        <v>801</v>
      </c>
      <c r="H472" t="s">
        <v>52</v>
      </c>
      <c r="I472" t="s">
        <v>31</v>
      </c>
      <c r="J472" t="s">
        <v>94</v>
      </c>
      <c r="K472" t="s">
        <v>712</v>
      </c>
      <c r="L472" t="s">
        <v>34</v>
      </c>
      <c r="M472">
        <v>3</v>
      </c>
      <c r="N472">
        <v>10</v>
      </c>
      <c r="O472">
        <v>8</v>
      </c>
      <c r="P472">
        <v>8</v>
      </c>
      <c r="Q472">
        <v>10</v>
      </c>
      <c r="R472">
        <v>10</v>
      </c>
      <c r="S472" t="s">
        <v>55</v>
      </c>
      <c r="T472" t="s">
        <v>36</v>
      </c>
      <c r="U472" t="s">
        <v>37</v>
      </c>
      <c r="V472">
        <v>27</v>
      </c>
      <c r="W472" t="s">
        <v>38</v>
      </c>
      <c r="X472" t="s">
        <v>237</v>
      </c>
      <c r="Y472" t="s">
        <v>39</v>
      </c>
    </row>
    <row r="473" spans="1:25" x14ac:dyDescent="0.45">
      <c r="A473" t="s">
        <v>1416</v>
      </c>
      <c r="B473" t="s">
        <v>25</v>
      </c>
      <c r="C473" s="3" t="s">
        <v>1373</v>
      </c>
      <c r="D473" s="3">
        <f t="shared" si="14"/>
        <v>44901</v>
      </c>
      <c r="E473" t="s">
        <v>1417</v>
      </c>
      <c r="F473" s="4">
        <f t="shared" si="15"/>
        <v>0.32708333333333334</v>
      </c>
      <c r="G473" t="s">
        <v>229</v>
      </c>
      <c r="H473" t="s">
        <v>30</v>
      </c>
      <c r="I473" t="s">
        <v>31</v>
      </c>
      <c r="J473" t="s">
        <v>44</v>
      </c>
      <c r="K473" t="s">
        <v>103</v>
      </c>
      <c r="L473" t="s">
        <v>34</v>
      </c>
      <c r="M473">
        <v>5</v>
      </c>
      <c r="N473">
        <v>8</v>
      </c>
      <c r="O473">
        <v>3</v>
      </c>
      <c r="P473">
        <v>2</v>
      </c>
      <c r="Q473">
        <v>4</v>
      </c>
      <c r="R473">
        <v>8</v>
      </c>
      <c r="S473" t="s">
        <v>85</v>
      </c>
      <c r="T473" t="s">
        <v>114</v>
      </c>
      <c r="U473" t="s">
        <v>37</v>
      </c>
      <c r="V473">
        <v>32</v>
      </c>
      <c r="W473" t="s">
        <v>319</v>
      </c>
      <c r="X473" t="s">
        <v>237</v>
      </c>
      <c r="Y473" t="s">
        <v>39</v>
      </c>
    </row>
    <row r="474" spans="1:25" x14ac:dyDescent="0.45">
      <c r="A474" t="s">
        <v>1418</v>
      </c>
      <c r="B474" t="s">
        <v>25</v>
      </c>
      <c r="C474" s="3" t="s">
        <v>1373</v>
      </c>
      <c r="D474" s="3">
        <f t="shared" si="14"/>
        <v>44901</v>
      </c>
      <c r="E474" t="s">
        <v>1419</v>
      </c>
      <c r="F474" s="4">
        <f t="shared" si="15"/>
        <v>0.35069444444444442</v>
      </c>
      <c r="G474" t="s">
        <v>1420</v>
      </c>
      <c r="H474" t="s">
        <v>123</v>
      </c>
      <c r="I474" t="s">
        <v>31</v>
      </c>
      <c r="J474" t="s">
        <v>53</v>
      </c>
      <c r="K474" t="s">
        <v>712</v>
      </c>
      <c r="L474" t="s">
        <v>34</v>
      </c>
      <c r="M474">
        <v>0</v>
      </c>
      <c r="N474">
        <v>3</v>
      </c>
      <c r="O474">
        <v>3</v>
      </c>
      <c r="P474">
        <v>3</v>
      </c>
      <c r="Q474">
        <v>3</v>
      </c>
      <c r="R474">
        <v>6</v>
      </c>
      <c r="S474" t="s">
        <v>69</v>
      </c>
      <c r="T474" t="s">
        <v>56</v>
      </c>
      <c r="U474" t="s">
        <v>37</v>
      </c>
      <c r="V474">
        <v>47</v>
      </c>
      <c r="W474" t="s">
        <v>423</v>
      </c>
      <c r="X474" t="s">
        <v>237</v>
      </c>
      <c r="Y474" t="s">
        <v>39</v>
      </c>
    </row>
    <row r="475" spans="1:25" x14ac:dyDescent="0.45">
      <c r="A475" t="s">
        <v>1421</v>
      </c>
      <c r="B475" t="s">
        <v>25</v>
      </c>
      <c r="C475" s="3" t="s">
        <v>1373</v>
      </c>
      <c r="D475" s="3">
        <f t="shared" si="14"/>
        <v>44901</v>
      </c>
      <c r="E475" t="s">
        <v>287</v>
      </c>
      <c r="F475" s="4">
        <f t="shared" si="15"/>
        <v>0.38472222222222224</v>
      </c>
      <c r="G475" t="s">
        <v>615</v>
      </c>
      <c r="H475" t="s">
        <v>1422</v>
      </c>
      <c r="I475" t="s">
        <v>43</v>
      </c>
      <c r="J475" t="s">
        <v>94</v>
      </c>
      <c r="K475" t="s">
        <v>45</v>
      </c>
      <c r="L475" t="s">
        <v>34</v>
      </c>
      <c r="M475">
        <v>0</v>
      </c>
      <c r="N475">
        <v>10</v>
      </c>
      <c r="O475">
        <v>10</v>
      </c>
      <c r="P475">
        <v>5</v>
      </c>
      <c r="Q475">
        <v>0</v>
      </c>
      <c r="R475">
        <v>0</v>
      </c>
      <c r="S475" t="s">
        <v>85</v>
      </c>
      <c r="T475" t="s">
        <v>56</v>
      </c>
      <c r="U475" t="s">
        <v>65</v>
      </c>
      <c r="V475">
        <v>30</v>
      </c>
      <c r="W475" t="s">
        <v>38</v>
      </c>
      <c r="X475" t="s">
        <v>240</v>
      </c>
      <c r="Y475" t="s">
        <v>48</v>
      </c>
    </row>
    <row r="476" spans="1:25" x14ac:dyDescent="0.45">
      <c r="A476" t="s">
        <v>1423</v>
      </c>
      <c r="B476" t="s">
        <v>25</v>
      </c>
      <c r="C476" s="3" t="s">
        <v>1373</v>
      </c>
      <c r="D476" s="3">
        <f t="shared" si="14"/>
        <v>44901</v>
      </c>
      <c r="E476" t="s">
        <v>366</v>
      </c>
      <c r="F476" s="4">
        <f t="shared" si="15"/>
        <v>0.39583333333333331</v>
      </c>
      <c r="G476" t="s">
        <v>196</v>
      </c>
      <c r="H476" t="s">
        <v>30</v>
      </c>
      <c r="I476" t="s">
        <v>31</v>
      </c>
      <c r="J476" t="s">
        <v>32</v>
      </c>
      <c r="K476" t="s">
        <v>1424</v>
      </c>
      <c r="L476" t="s">
        <v>34</v>
      </c>
      <c r="M476">
        <v>8</v>
      </c>
      <c r="N476">
        <v>6</v>
      </c>
      <c r="O476">
        <v>6</v>
      </c>
      <c r="P476">
        <v>7</v>
      </c>
      <c r="Q476">
        <v>9</v>
      </c>
      <c r="R476">
        <v>10</v>
      </c>
      <c r="S476" t="s">
        <v>55</v>
      </c>
      <c r="T476" t="s">
        <v>70</v>
      </c>
      <c r="U476" t="s">
        <v>65</v>
      </c>
      <c r="V476">
        <v>35</v>
      </c>
      <c r="W476" t="s">
        <v>38</v>
      </c>
      <c r="X476" t="s">
        <v>240</v>
      </c>
      <c r="Y476" t="s">
        <v>58</v>
      </c>
    </row>
    <row r="477" spans="1:25" x14ac:dyDescent="0.45">
      <c r="A477" t="s">
        <v>1425</v>
      </c>
      <c r="B477" t="s">
        <v>25</v>
      </c>
      <c r="C477" s="3" t="s">
        <v>1373</v>
      </c>
      <c r="D477" s="3">
        <f t="shared" si="14"/>
        <v>44901</v>
      </c>
      <c r="E477" t="s">
        <v>388</v>
      </c>
      <c r="F477" s="4">
        <f t="shared" si="15"/>
        <v>0.4</v>
      </c>
      <c r="G477" t="s">
        <v>931</v>
      </c>
      <c r="H477" t="s">
        <v>30</v>
      </c>
      <c r="I477" t="s">
        <v>31</v>
      </c>
      <c r="J477" t="s">
        <v>44</v>
      </c>
      <c r="K477" t="s">
        <v>45</v>
      </c>
      <c r="L477" t="s">
        <v>34</v>
      </c>
      <c r="M477">
        <v>6</v>
      </c>
      <c r="N477">
        <v>9</v>
      </c>
      <c r="O477">
        <v>5</v>
      </c>
      <c r="P477">
        <v>7</v>
      </c>
      <c r="Q477">
        <v>8</v>
      </c>
      <c r="R477">
        <v>9</v>
      </c>
      <c r="S477" t="s">
        <v>69</v>
      </c>
      <c r="T477" t="s">
        <v>36</v>
      </c>
      <c r="U477" t="s">
        <v>37</v>
      </c>
      <c r="V477">
        <v>25</v>
      </c>
      <c r="W477" t="s">
        <v>38</v>
      </c>
      <c r="X477" t="s">
        <v>227</v>
      </c>
      <c r="Y477" t="s">
        <v>91</v>
      </c>
    </row>
    <row r="478" spans="1:25" x14ac:dyDescent="0.45">
      <c r="A478" t="s">
        <v>1426</v>
      </c>
      <c r="B478" t="s">
        <v>25</v>
      </c>
      <c r="C478" s="3" t="s">
        <v>1373</v>
      </c>
      <c r="D478" s="3">
        <f t="shared" si="14"/>
        <v>44901</v>
      </c>
      <c r="E478" t="s">
        <v>421</v>
      </c>
      <c r="F478" s="4">
        <f t="shared" si="15"/>
        <v>0.40555555555555556</v>
      </c>
      <c r="G478" t="s">
        <v>1427</v>
      </c>
      <c r="H478" t="s">
        <v>1428</v>
      </c>
      <c r="I478" t="s">
        <v>43</v>
      </c>
      <c r="J478" t="s">
        <v>94</v>
      </c>
      <c r="K478" t="s">
        <v>1429</v>
      </c>
      <c r="L478" t="s">
        <v>34</v>
      </c>
      <c r="M478">
        <v>3</v>
      </c>
      <c r="N478">
        <v>6</v>
      </c>
      <c r="O478">
        <v>6</v>
      </c>
      <c r="P478">
        <v>6</v>
      </c>
      <c r="Q478">
        <v>6</v>
      </c>
      <c r="R478">
        <v>6</v>
      </c>
      <c r="S478" t="s">
        <v>85</v>
      </c>
      <c r="T478" t="s">
        <v>70</v>
      </c>
      <c r="U478" t="s">
        <v>37</v>
      </c>
      <c r="V478">
        <v>27</v>
      </c>
      <c r="W478" t="s">
        <v>38</v>
      </c>
      <c r="X478" t="s">
        <v>237</v>
      </c>
      <c r="Y478" t="s">
        <v>39</v>
      </c>
    </row>
    <row r="479" spans="1:25" x14ac:dyDescent="0.45">
      <c r="A479" t="s">
        <v>1430</v>
      </c>
      <c r="B479" t="s">
        <v>25</v>
      </c>
      <c r="C479" s="3" t="s">
        <v>1373</v>
      </c>
      <c r="D479" s="3">
        <f t="shared" si="14"/>
        <v>44901</v>
      </c>
      <c r="E479" t="s">
        <v>421</v>
      </c>
      <c r="F479" s="4">
        <f t="shared" si="15"/>
        <v>0.40555555555555556</v>
      </c>
      <c r="G479" t="s">
        <v>154</v>
      </c>
      <c r="H479" t="s">
        <v>30</v>
      </c>
      <c r="I479" t="s">
        <v>31</v>
      </c>
      <c r="J479" t="s">
        <v>44</v>
      </c>
      <c r="K479" t="s">
        <v>33</v>
      </c>
      <c r="L479" t="s">
        <v>46</v>
      </c>
      <c r="M479">
        <v>1</v>
      </c>
      <c r="N479">
        <v>5</v>
      </c>
      <c r="O479">
        <v>3</v>
      </c>
      <c r="P479">
        <v>3</v>
      </c>
      <c r="Q479">
        <v>6</v>
      </c>
      <c r="R479">
        <v>5</v>
      </c>
      <c r="S479" t="s">
        <v>69</v>
      </c>
      <c r="T479" t="s">
        <v>36</v>
      </c>
      <c r="U479" t="s">
        <v>65</v>
      </c>
      <c r="V479">
        <v>27</v>
      </c>
      <c r="W479" t="s">
        <v>38</v>
      </c>
      <c r="X479" t="s">
        <v>240</v>
      </c>
      <c r="Y479" t="s">
        <v>58</v>
      </c>
    </row>
    <row r="480" spans="1:25" x14ac:dyDescent="0.45">
      <c r="A480" t="s">
        <v>1431</v>
      </c>
      <c r="B480" t="s">
        <v>25</v>
      </c>
      <c r="C480" s="3" t="s">
        <v>1373</v>
      </c>
      <c r="D480" s="3">
        <f t="shared" si="14"/>
        <v>44901</v>
      </c>
      <c r="E480" t="s">
        <v>1432</v>
      </c>
      <c r="F480" s="4">
        <f t="shared" si="15"/>
        <v>0.42152777777777778</v>
      </c>
      <c r="G480" t="s">
        <v>196</v>
      </c>
      <c r="H480" t="s">
        <v>123</v>
      </c>
      <c r="I480" t="s">
        <v>43</v>
      </c>
      <c r="J480" t="s">
        <v>53</v>
      </c>
      <c r="K480" t="s">
        <v>1433</v>
      </c>
      <c r="L480" t="s">
        <v>34</v>
      </c>
      <c r="M480">
        <v>1</v>
      </c>
      <c r="N480">
        <v>8</v>
      </c>
      <c r="O480">
        <v>8</v>
      </c>
      <c r="P480">
        <v>1</v>
      </c>
      <c r="Q480">
        <v>3</v>
      </c>
      <c r="R480">
        <v>7</v>
      </c>
      <c r="S480" t="s">
        <v>64</v>
      </c>
      <c r="T480" t="s">
        <v>70</v>
      </c>
      <c r="U480" t="s">
        <v>65</v>
      </c>
      <c r="V480">
        <v>23</v>
      </c>
      <c r="W480" t="s">
        <v>147</v>
      </c>
      <c r="X480" t="s">
        <v>240</v>
      </c>
      <c r="Y480" t="s">
        <v>48</v>
      </c>
    </row>
    <row r="481" spans="1:25" x14ac:dyDescent="0.45">
      <c r="A481" t="s">
        <v>1434</v>
      </c>
      <c r="B481" t="s">
        <v>25</v>
      </c>
      <c r="C481" s="3" t="s">
        <v>1373</v>
      </c>
      <c r="D481" s="3">
        <f t="shared" si="14"/>
        <v>44901</v>
      </c>
      <c r="E481" t="s">
        <v>1435</v>
      </c>
      <c r="F481" s="4">
        <f t="shared" si="15"/>
        <v>0.4375</v>
      </c>
      <c r="G481" t="s">
        <v>61</v>
      </c>
      <c r="H481" t="s">
        <v>77</v>
      </c>
      <c r="I481" t="s">
        <v>43</v>
      </c>
      <c r="J481" t="s">
        <v>44</v>
      </c>
      <c r="K481" t="s">
        <v>1045</v>
      </c>
      <c r="L481" t="s">
        <v>34</v>
      </c>
      <c r="M481">
        <v>9</v>
      </c>
      <c r="N481">
        <v>10</v>
      </c>
      <c r="O481">
        <v>10</v>
      </c>
      <c r="P481">
        <v>10</v>
      </c>
      <c r="Q481">
        <v>10</v>
      </c>
      <c r="R481">
        <v>10</v>
      </c>
      <c r="S481" t="s">
        <v>85</v>
      </c>
      <c r="T481" t="s">
        <v>114</v>
      </c>
      <c r="U481" t="s">
        <v>37</v>
      </c>
      <c r="V481">
        <v>18</v>
      </c>
      <c r="W481" t="s">
        <v>38</v>
      </c>
      <c r="X481" t="s">
        <v>237</v>
      </c>
      <c r="Y481" t="s">
        <v>39</v>
      </c>
    </row>
    <row r="482" spans="1:25" x14ac:dyDescent="0.45">
      <c r="A482" t="s">
        <v>1436</v>
      </c>
      <c r="B482" t="s">
        <v>25</v>
      </c>
      <c r="C482" s="3" t="s">
        <v>1373</v>
      </c>
      <c r="D482" s="3">
        <f t="shared" si="14"/>
        <v>44901</v>
      </c>
      <c r="E482" t="s">
        <v>1437</v>
      </c>
      <c r="F482" s="4">
        <f t="shared" si="15"/>
        <v>0.48819444444444443</v>
      </c>
      <c r="G482" t="s">
        <v>825</v>
      </c>
      <c r="H482" t="s">
        <v>30</v>
      </c>
      <c r="I482" t="s">
        <v>31</v>
      </c>
      <c r="J482" t="s">
        <v>53</v>
      </c>
      <c r="K482" t="s">
        <v>33</v>
      </c>
      <c r="L482" t="s">
        <v>34</v>
      </c>
      <c r="M482">
        <v>8</v>
      </c>
      <c r="N482">
        <v>10</v>
      </c>
      <c r="O482">
        <v>9</v>
      </c>
      <c r="P482">
        <v>6</v>
      </c>
      <c r="Q482">
        <v>8</v>
      </c>
      <c r="R482">
        <v>9</v>
      </c>
      <c r="S482" t="s">
        <v>55</v>
      </c>
      <c r="T482" t="s">
        <v>36</v>
      </c>
      <c r="U482" t="s">
        <v>65</v>
      </c>
      <c r="V482">
        <v>28</v>
      </c>
      <c r="W482" t="s">
        <v>899</v>
      </c>
      <c r="X482" t="s">
        <v>240</v>
      </c>
      <c r="Y482" t="s">
        <v>91</v>
      </c>
    </row>
    <row r="483" spans="1:25" x14ac:dyDescent="0.45">
      <c r="A483" t="s">
        <v>1438</v>
      </c>
      <c r="B483" t="s">
        <v>25</v>
      </c>
      <c r="C483" s="3" t="s">
        <v>1373</v>
      </c>
      <c r="D483" s="3">
        <f t="shared" si="14"/>
        <v>44901</v>
      </c>
      <c r="E483" t="s">
        <v>1439</v>
      </c>
      <c r="F483" s="4">
        <f t="shared" si="15"/>
        <v>0.48888888888888887</v>
      </c>
      <c r="G483" t="s">
        <v>154</v>
      </c>
      <c r="H483" t="s">
        <v>518</v>
      </c>
      <c r="I483" t="s">
        <v>31</v>
      </c>
      <c r="J483" t="s">
        <v>82</v>
      </c>
      <c r="K483" t="s">
        <v>33</v>
      </c>
      <c r="L483" t="s">
        <v>34</v>
      </c>
      <c r="M483">
        <v>7</v>
      </c>
      <c r="N483">
        <v>6</v>
      </c>
      <c r="O483">
        <v>8</v>
      </c>
      <c r="P483">
        <v>8</v>
      </c>
      <c r="Q483">
        <v>8</v>
      </c>
      <c r="R483">
        <v>7</v>
      </c>
      <c r="S483" t="s">
        <v>55</v>
      </c>
      <c r="T483" t="s">
        <v>36</v>
      </c>
      <c r="U483" t="s">
        <v>37</v>
      </c>
      <c r="V483">
        <v>28</v>
      </c>
      <c r="W483" t="s">
        <v>38</v>
      </c>
      <c r="X483" t="s">
        <v>237</v>
      </c>
      <c r="Y483" t="s">
        <v>39</v>
      </c>
    </row>
    <row r="484" spans="1:25" x14ac:dyDescent="0.45">
      <c r="A484" t="s">
        <v>1440</v>
      </c>
      <c r="B484" t="s">
        <v>25</v>
      </c>
      <c r="C484" s="3" t="s">
        <v>1373</v>
      </c>
      <c r="D484" s="3">
        <f t="shared" si="14"/>
        <v>44901</v>
      </c>
      <c r="E484" t="s">
        <v>1259</v>
      </c>
      <c r="F484" s="4">
        <f t="shared" si="15"/>
        <v>0.5083333333333333</v>
      </c>
      <c r="G484" t="s">
        <v>135</v>
      </c>
      <c r="H484" t="s">
        <v>123</v>
      </c>
      <c r="I484" t="s">
        <v>43</v>
      </c>
      <c r="J484" t="s">
        <v>53</v>
      </c>
      <c r="K484" t="s">
        <v>1441</v>
      </c>
      <c r="L484" t="s">
        <v>34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55</v>
      </c>
      <c r="T484" t="s">
        <v>56</v>
      </c>
      <c r="U484" t="s">
        <v>65</v>
      </c>
      <c r="V484">
        <v>26</v>
      </c>
      <c r="W484" t="s">
        <v>38</v>
      </c>
      <c r="X484" t="s">
        <v>237</v>
      </c>
      <c r="Y484" t="s">
        <v>1400</v>
      </c>
    </row>
    <row r="485" spans="1:25" x14ac:dyDescent="0.45">
      <c r="A485" t="s">
        <v>1442</v>
      </c>
      <c r="B485" t="s">
        <v>25</v>
      </c>
      <c r="C485" s="3" t="s">
        <v>1373</v>
      </c>
      <c r="D485" s="3">
        <f t="shared" si="14"/>
        <v>44901</v>
      </c>
      <c r="E485" t="s">
        <v>1263</v>
      </c>
      <c r="F485" s="4">
        <f t="shared" si="15"/>
        <v>0.52500000000000002</v>
      </c>
      <c r="G485" t="s">
        <v>229</v>
      </c>
      <c r="H485" t="s">
        <v>123</v>
      </c>
      <c r="I485" t="s">
        <v>43</v>
      </c>
      <c r="J485" t="s">
        <v>53</v>
      </c>
      <c r="K485" t="s">
        <v>108</v>
      </c>
      <c r="L485" t="s">
        <v>34</v>
      </c>
      <c r="M485">
        <v>0</v>
      </c>
      <c r="N485">
        <v>0</v>
      </c>
      <c r="O485">
        <v>3</v>
      </c>
      <c r="P485">
        <v>0</v>
      </c>
      <c r="Q485">
        <v>0</v>
      </c>
      <c r="R485">
        <v>8</v>
      </c>
      <c r="S485" t="s">
        <v>69</v>
      </c>
      <c r="T485" t="s">
        <v>70</v>
      </c>
      <c r="U485" t="s">
        <v>37</v>
      </c>
      <c r="V485">
        <v>27</v>
      </c>
      <c r="W485" t="s">
        <v>1443</v>
      </c>
      <c r="X485" t="s">
        <v>237</v>
      </c>
      <c r="Y485" t="s">
        <v>58</v>
      </c>
    </row>
    <row r="486" spans="1:25" x14ac:dyDescent="0.45">
      <c r="A486" t="s">
        <v>1444</v>
      </c>
      <c r="B486" t="s">
        <v>25</v>
      </c>
      <c r="C486" s="3" t="s">
        <v>1373</v>
      </c>
      <c r="D486" s="3">
        <f t="shared" si="14"/>
        <v>44901</v>
      </c>
      <c r="E486" t="s">
        <v>1445</v>
      </c>
      <c r="F486" s="4">
        <f t="shared" si="15"/>
        <v>0.52986111111111112</v>
      </c>
      <c r="G486" t="s">
        <v>1446</v>
      </c>
      <c r="H486" t="s">
        <v>30</v>
      </c>
      <c r="I486" t="s">
        <v>43</v>
      </c>
      <c r="J486" t="s">
        <v>44</v>
      </c>
      <c r="K486" t="s">
        <v>103</v>
      </c>
      <c r="L486" t="s">
        <v>34</v>
      </c>
      <c r="M486">
        <v>9</v>
      </c>
      <c r="N486">
        <v>7</v>
      </c>
      <c r="O486">
        <v>9</v>
      </c>
      <c r="P486">
        <v>10</v>
      </c>
      <c r="Q486">
        <v>10</v>
      </c>
      <c r="R486">
        <v>10</v>
      </c>
      <c r="S486" t="s">
        <v>85</v>
      </c>
      <c r="T486" t="s">
        <v>56</v>
      </c>
      <c r="U486" t="s">
        <v>65</v>
      </c>
      <c r="V486">
        <v>22</v>
      </c>
      <c r="W486" t="s">
        <v>147</v>
      </c>
      <c r="X486" t="s">
        <v>240</v>
      </c>
      <c r="Y486" t="s">
        <v>48</v>
      </c>
    </row>
    <row r="487" spans="1:25" x14ac:dyDescent="0.45">
      <c r="A487" t="s">
        <v>1447</v>
      </c>
      <c r="B487" t="s">
        <v>25</v>
      </c>
      <c r="C487" s="3" t="s">
        <v>1373</v>
      </c>
      <c r="D487" s="3">
        <f t="shared" si="14"/>
        <v>44901</v>
      </c>
      <c r="E487" t="s">
        <v>719</v>
      </c>
      <c r="F487" s="4">
        <f t="shared" si="15"/>
        <v>0.53263888888888888</v>
      </c>
      <c r="G487" t="s">
        <v>389</v>
      </c>
      <c r="H487" t="s">
        <v>30</v>
      </c>
      <c r="I487" t="s">
        <v>31</v>
      </c>
      <c r="J487" t="s">
        <v>53</v>
      </c>
      <c r="K487" t="s">
        <v>103</v>
      </c>
      <c r="L487" t="s">
        <v>46</v>
      </c>
      <c r="M487">
        <v>0</v>
      </c>
      <c r="N487">
        <v>8</v>
      </c>
      <c r="O487">
        <v>7</v>
      </c>
      <c r="P487">
        <v>6</v>
      </c>
      <c r="Q487">
        <v>3</v>
      </c>
      <c r="R487">
        <v>9</v>
      </c>
      <c r="S487" t="s">
        <v>35</v>
      </c>
      <c r="T487" t="s">
        <v>70</v>
      </c>
      <c r="U487" t="s">
        <v>37</v>
      </c>
      <c r="V487">
        <v>27</v>
      </c>
      <c r="W487" t="s">
        <v>38</v>
      </c>
      <c r="X487" t="s">
        <v>227</v>
      </c>
      <c r="Y487" t="s">
        <v>39</v>
      </c>
    </row>
    <row r="488" spans="1:25" x14ac:dyDescent="0.45">
      <c r="A488" t="s">
        <v>1448</v>
      </c>
      <c r="B488" t="s">
        <v>25</v>
      </c>
      <c r="C488" s="3" t="s">
        <v>1373</v>
      </c>
      <c r="D488" s="3">
        <f t="shared" si="14"/>
        <v>44901</v>
      </c>
      <c r="E488" t="s">
        <v>750</v>
      </c>
      <c r="F488" s="4">
        <f t="shared" si="15"/>
        <v>0.55069444444444449</v>
      </c>
      <c r="G488" t="s">
        <v>822</v>
      </c>
      <c r="H488" t="s">
        <v>52</v>
      </c>
      <c r="I488" t="s">
        <v>31</v>
      </c>
      <c r="J488" t="s">
        <v>53</v>
      </c>
      <c r="K488" t="s">
        <v>1449</v>
      </c>
      <c r="L488" t="s">
        <v>34</v>
      </c>
      <c r="M488">
        <v>5</v>
      </c>
      <c r="N488">
        <v>7</v>
      </c>
      <c r="O488">
        <v>6</v>
      </c>
      <c r="P488">
        <v>8</v>
      </c>
      <c r="Q488">
        <v>7</v>
      </c>
      <c r="R488">
        <v>7</v>
      </c>
      <c r="S488" t="s">
        <v>85</v>
      </c>
      <c r="T488" t="s">
        <v>56</v>
      </c>
      <c r="U488" t="s">
        <v>37</v>
      </c>
      <c r="V488">
        <v>28</v>
      </c>
      <c r="W488" t="s">
        <v>147</v>
      </c>
      <c r="X488" t="s">
        <v>237</v>
      </c>
      <c r="Y488" t="s">
        <v>48</v>
      </c>
    </row>
    <row r="489" spans="1:25" x14ac:dyDescent="0.45">
      <c r="A489" t="s">
        <v>1450</v>
      </c>
      <c r="B489" t="s">
        <v>25</v>
      </c>
      <c r="C489" s="3" t="s">
        <v>1373</v>
      </c>
      <c r="D489" s="3">
        <f t="shared" si="14"/>
        <v>44901</v>
      </c>
      <c r="E489" t="s">
        <v>768</v>
      </c>
      <c r="F489" s="4">
        <f t="shared" si="15"/>
        <v>0.56736111111111109</v>
      </c>
      <c r="G489" t="s">
        <v>269</v>
      </c>
      <c r="H489" t="s">
        <v>30</v>
      </c>
      <c r="I489" t="s">
        <v>31</v>
      </c>
      <c r="J489" t="s">
        <v>53</v>
      </c>
      <c r="K489" t="s">
        <v>103</v>
      </c>
      <c r="L489" t="s">
        <v>34</v>
      </c>
      <c r="M489">
        <v>3</v>
      </c>
      <c r="N489">
        <v>2</v>
      </c>
      <c r="O489">
        <v>4</v>
      </c>
      <c r="P489">
        <v>3</v>
      </c>
      <c r="Q489">
        <v>3</v>
      </c>
      <c r="R489">
        <v>3</v>
      </c>
      <c r="S489" t="s">
        <v>85</v>
      </c>
      <c r="T489" t="s">
        <v>70</v>
      </c>
      <c r="U489" t="s">
        <v>37</v>
      </c>
      <c r="V489">
        <v>25</v>
      </c>
      <c r="W489" t="s">
        <v>57</v>
      </c>
      <c r="X489" t="s">
        <v>227</v>
      </c>
      <c r="Y489" t="s">
        <v>58</v>
      </c>
    </row>
    <row r="490" spans="1:25" x14ac:dyDescent="0.45">
      <c r="A490" t="s">
        <v>1451</v>
      </c>
      <c r="B490" t="s">
        <v>25</v>
      </c>
      <c r="C490" s="3" t="s">
        <v>1373</v>
      </c>
      <c r="D490" s="3">
        <f t="shared" si="14"/>
        <v>44901</v>
      </c>
      <c r="E490" t="s">
        <v>1452</v>
      </c>
      <c r="F490" s="4">
        <f t="shared" si="15"/>
        <v>0.5854166666666667</v>
      </c>
      <c r="G490" t="s">
        <v>196</v>
      </c>
      <c r="H490" t="s">
        <v>30</v>
      </c>
      <c r="I490" t="s">
        <v>43</v>
      </c>
      <c r="J490" t="s">
        <v>53</v>
      </c>
      <c r="K490" t="s">
        <v>33</v>
      </c>
      <c r="L490" t="s">
        <v>34</v>
      </c>
      <c r="M490">
        <v>2</v>
      </c>
      <c r="N490">
        <v>6</v>
      </c>
      <c r="O490">
        <v>6</v>
      </c>
      <c r="P490">
        <v>7</v>
      </c>
      <c r="Q490">
        <v>7</v>
      </c>
      <c r="R490">
        <v>9</v>
      </c>
      <c r="S490" t="s">
        <v>69</v>
      </c>
      <c r="T490" t="s">
        <v>70</v>
      </c>
      <c r="U490" t="s">
        <v>37</v>
      </c>
      <c r="V490">
        <v>32</v>
      </c>
      <c r="W490" t="s">
        <v>109</v>
      </c>
      <c r="X490" t="s">
        <v>237</v>
      </c>
      <c r="Y490" t="s">
        <v>91</v>
      </c>
    </row>
    <row r="491" spans="1:25" x14ac:dyDescent="0.45">
      <c r="A491" t="s">
        <v>1453</v>
      </c>
      <c r="B491" t="s">
        <v>25</v>
      </c>
      <c r="C491" s="3" t="s">
        <v>1373</v>
      </c>
      <c r="D491" s="3">
        <f t="shared" si="14"/>
        <v>44901</v>
      </c>
      <c r="E491" t="s">
        <v>1454</v>
      </c>
      <c r="F491" s="4">
        <f t="shared" si="15"/>
        <v>0.60624999999999996</v>
      </c>
      <c r="G491" t="s">
        <v>1455</v>
      </c>
      <c r="H491" t="s">
        <v>123</v>
      </c>
      <c r="I491" t="s">
        <v>31</v>
      </c>
      <c r="J491" t="s">
        <v>53</v>
      </c>
      <c r="K491" t="s">
        <v>45</v>
      </c>
      <c r="L491" t="s">
        <v>84</v>
      </c>
      <c r="M491">
        <v>7</v>
      </c>
      <c r="N491">
        <v>9</v>
      </c>
      <c r="O491">
        <v>10</v>
      </c>
      <c r="P491">
        <v>10</v>
      </c>
      <c r="Q491">
        <v>3</v>
      </c>
      <c r="R491">
        <v>4</v>
      </c>
      <c r="S491" t="s">
        <v>55</v>
      </c>
      <c r="T491" t="s">
        <v>36</v>
      </c>
      <c r="U491" t="s">
        <v>37</v>
      </c>
      <c r="V491">
        <v>33</v>
      </c>
      <c r="W491" t="s">
        <v>1456</v>
      </c>
      <c r="X491" t="s">
        <v>237</v>
      </c>
      <c r="Y491" t="s">
        <v>39</v>
      </c>
    </row>
    <row r="492" spans="1:25" x14ac:dyDescent="0.45">
      <c r="A492" t="s">
        <v>1457</v>
      </c>
      <c r="B492" t="s">
        <v>25</v>
      </c>
      <c r="C492" s="3" t="s">
        <v>1373</v>
      </c>
      <c r="D492" s="3">
        <f t="shared" si="14"/>
        <v>44901</v>
      </c>
      <c r="E492" t="s">
        <v>845</v>
      </c>
      <c r="F492" s="4">
        <f t="shared" si="15"/>
        <v>0.61319444444444449</v>
      </c>
      <c r="G492" t="s">
        <v>1458</v>
      </c>
      <c r="H492" t="s">
        <v>30</v>
      </c>
      <c r="I492" t="s">
        <v>43</v>
      </c>
      <c r="J492" t="s">
        <v>44</v>
      </c>
      <c r="K492" t="s">
        <v>1459</v>
      </c>
      <c r="L492" t="s">
        <v>34</v>
      </c>
      <c r="M492">
        <v>5</v>
      </c>
      <c r="N492">
        <v>6</v>
      </c>
      <c r="O492">
        <v>5</v>
      </c>
      <c r="P492">
        <v>2</v>
      </c>
      <c r="Q492">
        <v>3</v>
      </c>
      <c r="R492">
        <v>3</v>
      </c>
      <c r="S492" t="s">
        <v>55</v>
      </c>
      <c r="T492" t="s">
        <v>36</v>
      </c>
      <c r="U492" t="s">
        <v>37</v>
      </c>
      <c r="V492">
        <v>23</v>
      </c>
      <c r="W492" t="s">
        <v>47</v>
      </c>
      <c r="X492" t="s">
        <v>240</v>
      </c>
      <c r="Y492" t="s">
        <v>58</v>
      </c>
    </row>
    <row r="493" spans="1:25" x14ac:dyDescent="0.45">
      <c r="A493" t="s">
        <v>1460</v>
      </c>
      <c r="B493" t="s">
        <v>25</v>
      </c>
      <c r="C493" s="3" t="s">
        <v>1373</v>
      </c>
      <c r="D493" s="3">
        <f t="shared" si="14"/>
        <v>44901</v>
      </c>
      <c r="E493" t="s">
        <v>1461</v>
      </c>
      <c r="F493" s="4">
        <f t="shared" si="15"/>
        <v>0.63124999999999998</v>
      </c>
      <c r="G493" t="s">
        <v>881</v>
      </c>
      <c r="H493" t="s">
        <v>123</v>
      </c>
      <c r="I493" t="s">
        <v>31</v>
      </c>
      <c r="J493" t="s">
        <v>53</v>
      </c>
      <c r="K493" t="s">
        <v>45</v>
      </c>
      <c r="L493" t="s">
        <v>46</v>
      </c>
      <c r="M493">
        <v>4</v>
      </c>
      <c r="N493">
        <v>5</v>
      </c>
      <c r="O493">
        <v>4</v>
      </c>
      <c r="P493">
        <v>4</v>
      </c>
      <c r="Q493">
        <v>5</v>
      </c>
      <c r="R493">
        <v>6</v>
      </c>
      <c r="S493" t="s">
        <v>85</v>
      </c>
      <c r="T493" t="s">
        <v>36</v>
      </c>
      <c r="U493" t="s">
        <v>65</v>
      </c>
      <c r="V493">
        <v>40</v>
      </c>
      <c r="W493" t="s">
        <v>57</v>
      </c>
      <c r="X493" t="s">
        <v>237</v>
      </c>
      <c r="Y493" t="s">
        <v>58</v>
      </c>
    </row>
    <row r="494" spans="1:25" x14ac:dyDescent="0.45">
      <c r="A494" t="s">
        <v>1462</v>
      </c>
      <c r="B494" t="s">
        <v>25</v>
      </c>
      <c r="C494" s="3" t="s">
        <v>1373</v>
      </c>
      <c r="D494" s="3">
        <f t="shared" si="14"/>
        <v>44901</v>
      </c>
      <c r="E494" t="s">
        <v>1463</v>
      </c>
      <c r="F494" s="4">
        <f t="shared" si="15"/>
        <v>0.65625</v>
      </c>
      <c r="G494" t="s">
        <v>210</v>
      </c>
      <c r="H494" t="s">
        <v>30</v>
      </c>
      <c r="I494" t="s">
        <v>31</v>
      </c>
      <c r="J494" t="s">
        <v>44</v>
      </c>
      <c r="K494" t="s">
        <v>1464</v>
      </c>
      <c r="L494" t="s">
        <v>34</v>
      </c>
      <c r="M494">
        <v>7</v>
      </c>
      <c r="N494">
        <v>9</v>
      </c>
      <c r="O494">
        <v>9</v>
      </c>
      <c r="P494">
        <v>9</v>
      </c>
      <c r="Q494">
        <v>7</v>
      </c>
      <c r="R494">
        <v>9</v>
      </c>
      <c r="S494" t="s">
        <v>55</v>
      </c>
      <c r="T494" t="s">
        <v>70</v>
      </c>
      <c r="U494" t="s">
        <v>65</v>
      </c>
      <c r="V494">
        <v>28</v>
      </c>
      <c r="W494" t="s">
        <v>109</v>
      </c>
      <c r="X494" t="s">
        <v>237</v>
      </c>
      <c r="Y494" t="s">
        <v>48</v>
      </c>
    </row>
    <row r="495" spans="1:25" x14ac:dyDescent="0.45">
      <c r="A495" t="s">
        <v>1465</v>
      </c>
      <c r="B495" t="s">
        <v>25</v>
      </c>
      <c r="C495" s="3" t="s">
        <v>1373</v>
      </c>
      <c r="D495" s="3">
        <f t="shared" si="14"/>
        <v>44901</v>
      </c>
      <c r="E495" t="s">
        <v>1466</v>
      </c>
      <c r="F495" s="4">
        <f t="shared" si="15"/>
        <v>0.68263888888888891</v>
      </c>
      <c r="G495" t="s">
        <v>1467</v>
      </c>
      <c r="H495" t="s">
        <v>30</v>
      </c>
      <c r="I495" t="s">
        <v>43</v>
      </c>
      <c r="J495" t="s">
        <v>53</v>
      </c>
      <c r="K495" t="s">
        <v>712</v>
      </c>
      <c r="L495" t="s">
        <v>46</v>
      </c>
      <c r="M495">
        <v>3</v>
      </c>
      <c r="N495">
        <v>7</v>
      </c>
      <c r="O495">
        <v>8</v>
      </c>
      <c r="P495">
        <v>6</v>
      </c>
      <c r="Q495">
        <v>6</v>
      </c>
      <c r="R495">
        <v>9</v>
      </c>
      <c r="S495" t="s">
        <v>69</v>
      </c>
      <c r="T495" t="s">
        <v>36</v>
      </c>
      <c r="U495" t="s">
        <v>37</v>
      </c>
      <c r="V495">
        <v>26</v>
      </c>
      <c r="W495" t="s">
        <v>57</v>
      </c>
      <c r="X495" t="s">
        <v>227</v>
      </c>
      <c r="Y495" t="s">
        <v>58</v>
      </c>
    </row>
    <row r="496" spans="1:25" x14ac:dyDescent="0.45">
      <c r="A496" t="s">
        <v>1468</v>
      </c>
      <c r="B496" t="s">
        <v>25</v>
      </c>
      <c r="C496" s="3" t="s">
        <v>1373</v>
      </c>
      <c r="D496" s="3">
        <f t="shared" si="14"/>
        <v>44901</v>
      </c>
      <c r="E496" t="s">
        <v>1469</v>
      </c>
      <c r="F496" s="4">
        <f t="shared" si="15"/>
        <v>0.68611111111111112</v>
      </c>
      <c r="G496" t="s">
        <v>641</v>
      </c>
      <c r="H496" t="s">
        <v>1470</v>
      </c>
      <c r="I496" t="s">
        <v>31</v>
      </c>
      <c r="J496" t="s">
        <v>53</v>
      </c>
      <c r="K496" t="s">
        <v>103</v>
      </c>
      <c r="L496" t="s">
        <v>34</v>
      </c>
      <c r="M496">
        <v>3</v>
      </c>
      <c r="N496">
        <v>5</v>
      </c>
      <c r="O496">
        <v>5</v>
      </c>
      <c r="P496">
        <v>4</v>
      </c>
      <c r="Q496">
        <v>3</v>
      </c>
      <c r="R496">
        <v>2</v>
      </c>
      <c r="S496" t="s">
        <v>69</v>
      </c>
      <c r="T496" t="s">
        <v>70</v>
      </c>
      <c r="U496" t="s">
        <v>65</v>
      </c>
      <c r="V496">
        <v>24</v>
      </c>
      <c r="W496" t="s">
        <v>147</v>
      </c>
      <c r="X496" t="s">
        <v>237</v>
      </c>
      <c r="Y496" t="s">
        <v>48</v>
      </c>
    </row>
    <row r="497" spans="1:25" x14ac:dyDescent="0.45">
      <c r="A497" t="s">
        <v>1471</v>
      </c>
      <c r="B497" t="s">
        <v>25</v>
      </c>
      <c r="C497" s="3" t="s">
        <v>1373</v>
      </c>
      <c r="D497" s="3">
        <f t="shared" si="14"/>
        <v>44901</v>
      </c>
      <c r="E497" t="s">
        <v>955</v>
      </c>
      <c r="F497" s="4">
        <f t="shared" si="15"/>
        <v>0.70902777777777781</v>
      </c>
      <c r="G497" t="s">
        <v>265</v>
      </c>
      <c r="H497" t="s">
        <v>1472</v>
      </c>
      <c r="I497" t="s">
        <v>31</v>
      </c>
      <c r="J497" t="s">
        <v>87</v>
      </c>
      <c r="K497" t="s">
        <v>45</v>
      </c>
      <c r="L497" t="s">
        <v>34</v>
      </c>
      <c r="M497">
        <v>7</v>
      </c>
      <c r="N497">
        <v>5</v>
      </c>
      <c r="O497">
        <v>5</v>
      </c>
      <c r="P497">
        <v>8</v>
      </c>
      <c r="Q497">
        <v>8</v>
      </c>
      <c r="R497">
        <v>8</v>
      </c>
      <c r="S497" t="s">
        <v>85</v>
      </c>
      <c r="T497" t="s">
        <v>36</v>
      </c>
      <c r="U497" t="s">
        <v>65</v>
      </c>
      <c r="V497">
        <v>40</v>
      </c>
      <c r="W497" t="s">
        <v>38</v>
      </c>
      <c r="X497" t="s">
        <v>262</v>
      </c>
      <c r="Y497" t="s">
        <v>1473</v>
      </c>
    </row>
    <row r="498" spans="1:25" x14ac:dyDescent="0.45">
      <c r="A498" t="s">
        <v>1474</v>
      </c>
      <c r="B498" t="s">
        <v>25</v>
      </c>
      <c r="C498" s="3" t="s">
        <v>1373</v>
      </c>
      <c r="D498" s="3">
        <f t="shared" si="14"/>
        <v>44901</v>
      </c>
      <c r="E498" t="s">
        <v>960</v>
      </c>
      <c r="F498" s="4">
        <f t="shared" si="15"/>
        <v>0.71458333333333335</v>
      </c>
      <c r="G498" t="s">
        <v>269</v>
      </c>
      <c r="H498" t="s">
        <v>30</v>
      </c>
      <c r="I498" t="s">
        <v>31</v>
      </c>
      <c r="J498" t="s">
        <v>94</v>
      </c>
      <c r="K498" t="s">
        <v>393</v>
      </c>
      <c r="L498" t="s">
        <v>34</v>
      </c>
      <c r="M498">
        <v>8</v>
      </c>
      <c r="N498">
        <v>10</v>
      </c>
      <c r="O498">
        <v>10</v>
      </c>
      <c r="P498">
        <v>10</v>
      </c>
      <c r="Q498">
        <v>7</v>
      </c>
      <c r="R498">
        <v>9</v>
      </c>
      <c r="S498" t="s">
        <v>85</v>
      </c>
      <c r="T498" t="s">
        <v>70</v>
      </c>
      <c r="U498" t="s">
        <v>37</v>
      </c>
      <c r="V498">
        <v>26</v>
      </c>
      <c r="W498" t="s">
        <v>38</v>
      </c>
      <c r="X498" t="s">
        <v>237</v>
      </c>
      <c r="Y498" t="s">
        <v>58</v>
      </c>
    </row>
    <row r="499" spans="1:25" x14ac:dyDescent="0.45">
      <c r="A499" t="s">
        <v>1475</v>
      </c>
      <c r="B499" t="s">
        <v>25</v>
      </c>
      <c r="C499" s="3" t="s">
        <v>1373</v>
      </c>
      <c r="D499" s="3">
        <f t="shared" si="14"/>
        <v>44901</v>
      </c>
      <c r="E499" t="s">
        <v>1476</v>
      </c>
      <c r="F499" s="4">
        <f t="shared" si="15"/>
        <v>0.73750000000000004</v>
      </c>
      <c r="G499" t="s">
        <v>358</v>
      </c>
      <c r="H499" t="s">
        <v>77</v>
      </c>
      <c r="I499" t="s">
        <v>31</v>
      </c>
      <c r="J499" t="s">
        <v>44</v>
      </c>
      <c r="K499" t="s">
        <v>1477</v>
      </c>
      <c r="L499" t="s">
        <v>34</v>
      </c>
      <c r="M499">
        <v>8</v>
      </c>
      <c r="N499">
        <v>8</v>
      </c>
      <c r="O499">
        <v>10</v>
      </c>
      <c r="P499">
        <v>10</v>
      </c>
      <c r="Q499">
        <v>10</v>
      </c>
      <c r="R499">
        <v>10</v>
      </c>
      <c r="S499" t="s">
        <v>55</v>
      </c>
      <c r="T499" t="s">
        <v>114</v>
      </c>
      <c r="U499" t="s">
        <v>65</v>
      </c>
      <c r="V499">
        <v>44</v>
      </c>
      <c r="W499" t="s">
        <v>109</v>
      </c>
      <c r="X499" t="s">
        <v>237</v>
      </c>
      <c r="Y499" t="s">
        <v>39</v>
      </c>
    </row>
    <row r="500" spans="1:25" x14ac:dyDescent="0.45">
      <c r="A500" t="s">
        <v>1478</v>
      </c>
      <c r="B500" t="s">
        <v>25</v>
      </c>
      <c r="C500" s="3" t="s">
        <v>1373</v>
      </c>
      <c r="D500" s="3">
        <f t="shared" si="14"/>
        <v>44901</v>
      </c>
      <c r="E500" t="s">
        <v>1479</v>
      </c>
      <c r="F500" s="4">
        <f t="shared" si="15"/>
        <v>0.75972222222222219</v>
      </c>
      <c r="G500" t="s">
        <v>254</v>
      </c>
      <c r="H500" t="s">
        <v>1480</v>
      </c>
      <c r="I500" t="s">
        <v>31</v>
      </c>
      <c r="J500" t="s">
        <v>94</v>
      </c>
      <c r="K500" t="s">
        <v>838</v>
      </c>
      <c r="L500" t="s">
        <v>34</v>
      </c>
      <c r="M500">
        <v>7</v>
      </c>
      <c r="N500">
        <v>9</v>
      </c>
      <c r="O500">
        <v>8</v>
      </c>
      <c r="P500">
        <v>8</v>
      </c>
      <c r="Q500">
        <v>6</v>
      </c>
      <c r="R500">
        <v>6</v>
      </c>
      <c r="S500" t="s">
        <v>85</v>
      </c>
      <c r="T500" t="s">
        <v>70</v>
      </c>
      <c r="U500" t="s">
        <v>37</v>
      </c>
      <c r="V500">
        <v>36</v>
      </c>
      <c r="W500" t="s">
        <v>38</v>
      </c>
      <c r="X500" t="s">
        <v>240</v>
      </c>
      <c r="Y500" t="s">
        <v>39</v>
      </c>
    </row>
    <row r="501" spans="1:25" x14ac:dyDescent="0.45">
      <c r="A501" t="s">
        <v>1481</v>
      </c>
      <c r="B501" t="s">
        <v>25</v>
      </c>
      <c r="C501" s="3" t="s">
        <v>1373</v>
      </c>
      <c r="D501" s="3">
        <f t="shared" si="14"/>
        <v>44901</v>
      </c>
      <c r="E501" t="s">
        <v>1334</v>
      </c>
      <c r="F501" s="4">
        <f t="shared" si="15"/>
        <v>0.8125</v>
      </c>
      <c r="G501" t="s">
        <v>171</v>
      </c>
      <c r="H501" t="s">
        <v>255</v>
      </c>
      <c r="I501" t="s">
        <v>31</v>
      </c>
      <c r="J501" t="s">
        <v>53</v>
      </c>
      <c r="K501" t="s">
        <v>1482</v>
      </c>
      <c r="L501" t="s">
        <v>34</v>
      </c>
      <c r="M501">
        <v>1</v>
      </c>
      <c r="N501">
        <v>5</v>
      </c>
      <c r="O501">
        <v>10</v>
      </c>
      <c r="P501">
        <v>10</v>
      </c>
      <c r="Q501">
        <v>8</v>
      </c>
      <c r="R501">
        <v>10</v>
      </c>
      <c r="S501" t="s">
        <v>85</v>
      </c>
      <c r="T501" t="s">
        <v>70</v>
      </c>
      <c r="U501" t="s">
        <v>37</v>
      </c>
      <c r="V501">
        <v>30</v>
      </c>
      <c r="W501" t="s">
        <v>403</v>
      </c>
      <c r="X501" t="s">
        <v>237</v>
      </c>
      <c r="Y501" t="s">
        <v>91</v>
      </c>
    </row>
    <row r="502" spans="1:25" x14ac:dyDescent="0.45">
      <c r="A502" t="s">
        <v>1483</v>
      </c>
      <c r="B502" t="s">
        <v>25</v>
      </c>
      <c r="C502" s="3" t="s">
        <v>1373</v>
      </c>
      <c r="D502" s="3">
        <f t="shared" si="14"/>
        <v>44901</v>
      </c>
      <c r="E502" t="s">
        <v>1484</v>
      </c>
      <c r="F502" s="4">
        <f t="shared" si="15"/>
        <v>0.88402777777777775</v>
      </c>
      <c r="G502" t="s">
        <v>1485</v>
      </c>
      <c r="H502" t="s">
        <v>1486</v>
      </c>
      <c r="I502" t="s">
        <v>31</v>
      </c>
      <c r="J502" t="s">
        <v>53</v>
      </c>
      <c r="K502" t="s">
        <v>1487</v>
      </c>
      <c r="L502" t="s">
        <v>34</v>
      </c>
      <c r="M502">
        <v>3</v>
      </c>
      <c r="N502">
        <v>3</v>
      </c>
      <c r="O502">
        <v>3</v>
      </c>
      <c r="P502">
        <v>2</v>
      </c>
      <c r="Q502">
        <v>2</v>
      </c>
      <c r="R502">
        <v>2</v>
      </c>
      <c r="S502" t="s">
        <v>64</v>
      </c>
      <c r="T502" t="s">
        <v>56</v>
      </c>
      <c r="U502" t="s">
        <v>37</v>
      </c>
      <c r="V502">
        <v>48</v>
      </c>
      <c r="W502" t="s">
        <v>1488</v>
      </c>
      <c r="X502" t="s">
        <v>240</v>
      </c>
      <c r="Y502" t="s">
        <v>1489</v>
      </c>
    </row>
    <row r="503" spans="1:25" x14ac:dyDescent="0.45">
      <c r="A503" t="s">
        <v>1490</v>
      </c>
      <c r="B503" t="s">
        <v>25</v>
      </c>
      <c r="C503" s="3" t="s">
        <v>1373</v>
      </c>
      <c r="D503" s="3">
        <f t="shared" si="14"/>
        <v>44901</v>
      </c>
      <c r="E503" t="s">
        <v>1055</v>
      </c>
      <c r="F503" s="4">
        <f t="shared" si="15"/>
        <v>0.93680555555555556</v>
      </c>
      <c r="G503" t="s">
        <v>1491</v>
      </c>
      <c r="H503" t="s">
        <v>30</v>
      </c>
      <c r="I503" t="s">
        <v>31</v>
      </c>
      <c r="J503" t="s">
        <v>44</v>
      </c>
      <c r="K503" t="s">
        <v>113</v>
      </c>
      <c r="L503" t="s">
        <v>1492</v>
      </c>
      <c r="M503">
        <v>1</v>
      </c>
      <c r="N503">
        <v>4</v>
      </c>
      <c r="O503">
        <v>1</v>
      </c>
      <c r="P503">
        <v>2</v>
      </c>
      <c r="Q503">
        <v>2</v>
      </c>
      <c r="R503">
        <v>3</v>
      </c>
      <c r="S503" t="s">
        <v>55</v>
      </c>
      <c r="T503" t="s">
        <v>70</v>
      </c>
      <c r="U503" t="s">
        <v>65</v>
      </c>
      <c r="V503">
        <v>30</v>
      </c>
      <c r="W503" t="s">
        <v>47</v>
      </c>
      <c r="X503" t="s">
        <v>240</v>
      </c>
      <c r="Y503" t="s">
        <v>48</v>
      </c>
    </row>
    <row r="504" spans="1:25" x14ac:dyDescent="0.45">
      <c r="A504" t="s">
        <v>1493</v>
      </c>
      <c r="B504" t="s">
        <v>25</v>
      </c>
      <c r="C504" s="3" t="s">
        <v>1373</v>
      </c>
      <c r="D504" s="3">
        <f t="shared" si="14"/>
        <v>44901</v>
      </c>
      <c r="E504" t="s">
        <v>1494</v>
      </c>
      <c r="F504" s="4">
        <f t="shared" si="15"/>
        <v>0.96944444444444444</v>
      </c>
      <c r="G504" t="s">
        <v>1495</v>
      </c>
      <c r="H504" t="s">
        <v>1496</v>
      </c>
      <c r="I504" t="s">
        <v>43</v>
      </c>
      <c r="J504" t="s">
        <v>53</v>
      </c>
      <c r="K504" t="s">
        <v>90</v>
      </c>
      <c r="L504" t="s">
        <v>34</v>
      </c>
      <c r="M504">
        <v>3</v>
      </c>
      <c r="N504">
        <v>8</v>
      </c>
      <c r="O504">
        <v>8</v>
      </c>
      <c r="P504">
        <v>5</v>
      </c>
      <c r="Q504">
        <v>3</v>
      </c>
      <c r="R504">
        <v>5</v>
      </c>
      <c r="S504" t="s">
        <v>69</v>
      </c>
      <c r="T504" t="s">
        <v>70</v>
      </c>
      <c r="U504" t="s">
        <v>37</v>
      </c>
      <c r="V504">
        <v>28</v>
      </c>
      <c r="W504" t="s">
        <v>147</v>
      </c>
      <c r="X504" t="s">
        <v>237</v>
      </c>
      <c r="Y504" t="s">
        <v>1497</v>
      </c>
    </row>
    <row r="505" spans="1:25" x14ac:dyDescent="0.45">
      <c r="A505" t="s">
        <v>1498</v>
      </c>
      <c r="B505" t="s">
        <v>25</v>
      </c>
      <c r="C505" s="3" t="s">
        <v>1373</v>
      </c>
      <c r="D505" s="3">
        <f t="shared" si="14"/>
        <v>44901</v>
      </c>
      <c r="E505" t="s">
        <v>1085</v>
      </c>
      <c r="F505" s="4">
        <f t="shared" si="15"/>
        <v>0.98263888888888884</v>
      </c>
      <c r="G505" t="s">
        <v>254</v>
      </c>
      <c r="H505" t="s">
        <v>1499</v>
      </c>
      <c r="I505" t="s">
        <v>43</v>
      </c>
      <c r="J505" t="s">
        <v>53</v>
      </c>
      <c r="K505" t="s">
        <v>103</v>
      </c>
      <c r="L505" t="s">
        <v>34</v>
      </c>
      <c r="M505">
        <v>5</v>
      </c>
      <c r="N505">
        <v>8</v>
      </c>
      <c r="O505">
        <v>7</v>
      </c>
      <c r="P505">
        <v>7</v>
      </c>
      <c r="Q505">
        <v>3</v>
      </c>
      <c r="R505">
        <v>2</v>
      </c>
      <c r="S505" t="s">
        <v>69</v>
      </c>
      <c r="T505" t="s">
        <v>70</v>
      </c>
      <c r="U505" t="s">
        <v>37</v>
      </c>
      <c r="V505">
        <v>25</v>
      </c>
      <c r="W505" t="s">
        <v>147</v>
      </c>
      <c r="X505" t="s">
        <v>237</v>
      </c>
      <c r="Y505" t="s">
        <v>200</v>
      </c>
    </row>
    <row r="506" spans="1:25" x14ac:dyDescent="0.45">
      <c r="A506" t="s">
        <v>1500</v>
      </c>
      <c r="B506" t="s">
        <v>25</v>
      </c>
      <c r="C506" s="3" t="s">
        <v>1501</v>
      </c>
      <c r="D506" s="3" t="e">
        <f t="shared" si="14"/>
        <v>#VALUE!</v>
      </c>
      <c r="E506" t="s">
        <v>1102</v>
      </c>
      <c r="F506" s="4">
        <f t="shared" si="15"/>
        <v>1.8055555555555554E-2</v>
      </c>
      <c r="G506" t="s">
        <v>42</v>
      </c>
      <c r="H506" t="s">
        <v>625</v>
      </c>
      <c r="I506" t="s">
        <v>43</v>
      </c>
      <c r="J506" t="s">
        <v>32</v>
      </c>
      <c r="K506" t="s">
        <v>103</v>
      </c>
      <c r="L506" t="s">
        <v>84</v>
      </c>
      <c r="M506">
        <v>6</v>
      </c>
      <c r="N506">
        <v>5</v>
      </c>
      <c r="O506">
        <v>4</v>
      </c>
      <c r="P506">
        <v>4</v>
      </c>
      <c r="Q506">
        <v>3</v>
      </c>
      <c r="R506">
        <v>4</v>
      </c>
      <c r="S506" t="s">
        <v>55</v>
      </c>
      <c r="T506" t="s">
        <v>70</v>
      </c>
      <c r="U506" t="s">
        <v>37</v>
      </c>
      <c r="V506">
        <v>24</v>
      </c>
      <c r="W506" t="s">
        <v>38</v>
      </c>
      <c r="X506" t="s">
        <v>240</v>
      </c>
      <c r="Y506" t="s">
        <v>1400</v>
      </c>
    </row>
    <row r="507" spans="1:25" x14ac:dyDescent="0.45">
      <c r="A507" t="s">
        <v>1502</v>
      </c>
      <c r="B507" t="s">
        <v>25</v>
      </c>
      <c r="C507" s="3" t="s">
        <v>1501</v>
      </c>
      <c r="D507" s="3" t="e">
        <f t="shared" si="14"/>
        <v>#VALUE!</v>
      </c>
      <c r="E507" t="s">
        <v>1379</v>
      </c>
      <c r="F507" s="4">
        <f t="shared" si="15"/>
        <v>4.027777777777778E-2</v>
      </c>
      <c r="G507" t="s">
        <v>472</v>
      </c>
      <c r="H507" t="s">
        <v>30</v>
      </c>
      <c r="I507" t="s">
        <v>31</v>
      </c>
      <c r="J507" t="s">
        <v>44</v>
      </c>
      <c r="K507" t="s">
        <v>917</v>
      </c>
      <c r="L507" t="s">
        <v>34</v>
      </c>
      <c r="M507">
        <v>5</v>
      </c>
      <c r="N507">
        <v>10</v>
      </c>
      <c r="O507">
        <v>7</v>
      </c>
      <c r="P507">
        <v>7</v>
      </c>
      <c r="Q507">
        <v>4</v>
      </c>
      <c r="R507">
        <v>8</v>
      </c>
      <c r="S507" t="s">
        <v>55</v>
      </c>
      <c r="T507" t="s">
        <v>70</v>
      </c>
      <c r="U507" t="s">
        <v>37</v>
      </c>
      <c r="V507">
        <v>31</v>
      </c>
      <c r="W507" t="s">
        <v>38</v>
      </c>
      <c r="X507" t="s">
        <v>237</v>
      </c>
      <c r="Y507" t="s">
        <v>58</v>
      </c>
    </row>
    <row r="508" spans="1:25" x14ac:dyDescent="0.45">
      <c r="A508" t="s">
        <v>1503</v>
      </c>
      <c r="B508" t="s">
        <v>25</v>
      </c>
      <c r="C508" s="3" t="s">
        <v>1501</v>
      </c>
      <c r="D508" s="3" t="e">
        <f t="shared" si="14"/>
        <v>#VALUE!</v>
      </c>
      <c r="E508" t="s">
        <v>1504</v>
      </c>
      <c r="F508" s="4">
        <f t="shared" si="15"/>
        <v>7.6388888888888895E-2</v>
      </c>
      <c r="G508" t="s">
        <v>141</v>
      </c>
      <c r="H508" t="s">
        <v>52</v>
      </c>
      <c r="I508" t="s">
        <v>43</v>
      </c>
      <c r="J508" t="s">
        <v>53</v>
      </c>
      <c r="K508" t="s">
        <v>712</v>
      </c>
      <c r="L508" t="s">
        <v>34</v>
      </c>
      <c r="M508">
        <v>3</v>
      </c>
      <c r="N508">
        <v>3</v>
      </c>
      <c r="O508">
        <v>8</v>
      </c>
      <c r="P508">
        <v>9</v>
      </c>
      <c r="Q508">
        <v>5</v>
      </c>
      <c r="R508">
        <v>3</v>
      </c>
      <c r="S508" t="s">
        <v>55</v>
      </c>
      <c r="T508" t="s">
        <v>70</v>
      </c>
      <c r="U508" t="s">
        <v>37</v>
      </c>
      <c r="V508">
        <v>23</v>
      </c>
      <c r="W508" t="s">
        <v>109</v>
      </c>
      <c r="X508" t="s">
        <v>237</v>
      </c>
      <c r="Y508" t="s">
        <v>1505</v>
      </c>
    </row>
    <row r="509" spans="1:25" x14ac:dyDescent="0.45">
      <c r="A509" t="s">
        <v>1506</v>
      </c>
      <c r="B509" t="s">
        <v>25</v>
      </c>
      <c r="C509" s="3" t="s">
        <v>1501</v>
      </c>
      <c r="D509" s="3" t="e">
        <f t="shared" si="14"/>
        <v>#VALUE!</v>
      </c>
      <c r="E509" t="s">
        <v>1507</v>
      </c>
      <c r="F509" s="4">
        <f t="shared" si="15"/>
        <v>8.2638888888888887E-2</v>
      </c>
      <c r="G509" t="s">
        <v>854</v>
      </c>
      <c r="H509" t="s">
        <v>30</v>
      </c>
      <c r="I509" t="s">
        <v>43</v>
      </c>
      <c r="J509" t="s">
        <v>44</v>
      </c>
      <c r="K509" t="s">
        <v>1508</v>
      </c>
      <c r="L509" t="s">
        <v>533</v>
      </c>
      <c r="M509">
        <v>1</v>
      </c>
      <c r="N509">
        <v>4</v>
      </c>
      <c r="O509">
        <v>4</v>
      </c>
      <c r="P509">
        <v>1</v>
      </c>
      <c r="Q509">
        <v>1</v>
      </c>
      <c r="R509">
        <v>4</v>
      </c>
      <c r="S509" t="s">
        <v>55</v>
      </c>
      <c r="T509" t="s">
        <v>114</v>
      </c>
      <c r="U509" t="s">
        <v>65</v>
      </c>
      <c r="V509">
        <v>48</v>
      </c>
      <c r="W509" t="s">
        <v>109</v>
      </c>
      <c r="X509" t="s">
        <v>240</v>
      </c>
      <c r="Y509" t="s">
        <v>39</v>
      </c>
    </row>
    <row r="510" spans="1:25" x14ac:dyDescent="0.45">
      <c r="A510" t="s">
        <v>1509</v>
      </c>
      <c r="B510" t="s">
        <v>25</v>
      </c>
      <c r="C510" s="3" t="s">
        <v>1501</v>
      </c>
      <c r="D510" s="3" t="e">
        <f t="shared" si="14"/>
        <v>#VALUE!</v>
      </c>
      <c r="E510" t="s">
        <v>1510</v>
      </c>
      <c r="F510" s="4">
        <f t="shared" si="15"/>
        <v>0.1111111111111111</v>
      </c>
      <c r="G510" t="s">
        <v>1237</v>
      </c>
      <c r="H510" t="s">
        <v>30</v>
      </c>
      <c r="I510" t="s">
        <v>31</v>
      </c>
      <c r="J510" t="s">
        <v>94</v>
      </c>
      <c r="K510" t="s">
        <v>33</v>
      </c>
      <c r="L510" t="s">
        <v>34</v>
      </c>
      <c r="M510">
        <v>6</v>
      </c>
      <c r="N510">
        <v>9</v>
      </c>
      <c r="O510">
        <v>8</v>
      </c>
      <c r="P510">
        <v>8</v>
      </c>
      <c r="Q510">
        <v>8</v>
      </c>
      <c r="R510">
        <v>7</v>
      </c>
      <c r="S510" t="s">
        <v>85</v>
      </c>
      <c r="T510" t="s">
        <v>70</v>
      </c>
      <c r="U510" t="s">
        <v>37</v>
      </c>
      <c r="V510">
        <v>28</v>
      </c>
      <c r="W510" t="s">
        <v>38</v>
      </c>
      <c r="X510" t="s">
        <v>237</v>
      </c>
      <c r="Y510" t="s">
        <v>58</v>
      </c>
    </row>
    <row r="511" spans="1:25" x14ac:dyDescent="0.45">
      <c r="A511" t="s">
        <v>1511</v>
      </c>
      <c r="B511" t="s">
        <v>25</v>
      </c>
      <c r="C511" s="3" t="s">
        <v>1501</v>
      </c>
      <c r="D511" s="3" t="e">
        <f t="shared" si="14"/>
        <v>#VALUE!</v>
      </c>
      <c r="E511" t="s">
        <v>1512</v>
      </c>
      <c r="F511" s="4">
        <f t="shared" si="15"/>
        <v>0.13055555555555556</v>
      </c>
      <c r="G511" t="s">
        <v>265</v>
      </c>
      <c r="H511" t="s">
        <v>30</v>
      </c>
      <c r="I511" t="s">
        <v>31</v>
      </c>
      <c r="J511" t="s">
        <v>44</v>
      </c>
      <c r="K511" t="s">
        <v>83</v>
      </c>
      <c r="L511" t="s">
        <v>34</v>
      </c>
      <c r="M511">
        <v>5</v>
      </c>
      <c r="N511">
        <v>7</v>
      </c>
      <c r="O511">
        <v>7</v>
      </c>
      <c r="P511">
        <v>7</v>
      </c>
      <c r="Q511">
        <v>7</v>
      </c>
      <c r="R511">
        <v>7</v>
      </c>
      <c r="S511" t="s">
        <v>69</v>
      </c>
      <c r="T511" t="s">
        <v>70</v>
      </c>
      <c r="U511" t="s">
        <v>37</v>
      </c>
      <c r="V511">
        <v>32</v>
      </c>
      <c r="W511" t="s">
        <v>109</v>
      </c>
      <c r="X511" t="s">
        <v>240</v>
      </c>
      <c r="Y511" t="s">
        <v>91</v>
      </c>
    </row>
    <row r="512" spans="1:25" x14ac:dyDescent="0.45">
      <c r="A512" t="s">
        <v>1513</v>
      </c>
      <c r="B512" t="s">
        <v>25</v>
      </c>
      <c r="C512" s="3" t="s">
        <v>1501</v>
      </c>
      <c r="D512" s="3" t="e">
        <f t="shared" si="14"/>
        <v>#VALUE!</v>
      </c>
      <c r="E512" t="s">
        <v>1147</v>
      </c>
      <c r="F512" s="4">
        <f t="shared" si="15"/>
        <v>0.15277777777777779</v>
      </c>
      <c r="G512" t="s">
        <v>1514</v>
      </c>
      <c r="H512" t="s">
        <v>77</v>
      </c>
      <c r="I512" t="s">
        <v>31</v>
      </c>
      <c r="J512" t="s">
        <v>44</v>
      </c>
      <c r="K512" t="s">
        <v>45</v>
      </c>
      <c r="L512" t="s">
        <v>34</v>
      </c>
      <c r="M512">
        <v>5</v>
      </c>
      <c r="N512">
        <v>7</v>
      </c>
      <c r="O512">
        <v>7</v>
      </c>
      <c r="P512">
        <v>4</v>
      </c>
      <c r="Q512">
        <v>5</v>
      </c>
      <c r="R512">
        <v>7</v>
      </c>
      <c r="S512" t="s">
        <v>85</v>
      </c>
      <c r="T512" t="s">
        <v>70</v>
      </c>
      <c r="U512" t="s">
        <v>37</v>
      </c>
      <c r="V512">
        <v>30</v>
      </c>
      <c r="W512" t="s">
        <v>1515</v>
      </c>
      <c r="X512" t="s">
        <v>237</v>
      </c>
      <c r="Y512" t="s">
        <v>48</v>
      </c>
    </row>
    <row r="513" spans="1:25" x14ac:dyDescent="0.45">
      <c r="A513" t="s">
        <v>1516</v>
      </c>
      <c r="B513" t="s">
        <v>25</v>
      </c>
      <c r="C513" s="3" t="s">
        <v>1501</v>
      </c>
      <c r="D513" s="3" t="e">
        <f t="shared" si="14"/>
        <v>#VALUE!</v>
      </c>
      <c r="E513" t="s">
        <v>1167</v>
      </c>
      <c r="F513" s="4">
        <f t="shared" si="15"/>
        <v>0.22569444444444445</v>
      </c>
      <c r="G513" t="s">
        <v>482</v>
      </c>
      <c r="H513" t="s">
        <v>30</v>
      </c>
      <c r="I513" t="s">
        <v>31</v>
      </c>
      <c r="J513" t="s">
        <v>53</v>
      </c>
      <c r="K513" t="s">
        <v>151</v>
      </c>
      <c r="L513" t="s">
        <v>34</v>
      </c>
      <c r="M513">
        <v>5</v>
      </c>
      <c r="N513">
        <v>5</v>
      </c>
      <c r="O513">
        <v>7</v>
      </c>
      <c r="P513">
        <v>7</v>
      </c>
      <c r="Q513">
        <v>7</v>
      </c>
      <c r="R513">
        <v>8</v>
      </c>
      <c r="S513" t="s">
        <v>85</v>
      </c>
      <c r="T513" t="s">
        <v>56</v>
      </c>
      <c r="U513" t="s">
        <v>37</v>
      </c>
      <c r="V513">
        <v>32</v>
      </c>
      <c r="W513" t="s">
        <v>1517</v>
      </c>
      <c r="X513" t="s">
        <v>240</v>
      </c>
      <c r="Y513" t="s">
        <v>39</v>
      </c>
    </row>
    <row r="514" spans="1:25" x14ac:dyDescent="0.45">
      <c r="A514" t="s">
        <v>1518</v>
      </c>
      <c r="B514" t="s">
        <v>25</v>
      </c>
      <c r="C514" s="3" t="s">
        <v>1501</v>
      </c>
      <c r="D514" s="3" t="e">
        <f t="shared" si="14"/>
        <v>#VALUE!</v>
      </c>
      <c r="E514" t="s">
        <v>1519</v>
      </c>
      <c r="F514" s="4">
        <f t="shared" si="15"/>
        <v>0.23125000000000001</v>
      </c>
      <c r="G514" t="s">
        <v>1520</v>
      </c>
      <c r="H514" t="s">
        <v>30</v>
      </c>
      <c r="I514" t="s">
        <v>31</v>
      </c>
      <c r="J514" t="s">
        <v>53</v>
      </c>
      <c r="K514" t="s">
        <v>103</v>
      </c>
      <c r="L514" t="s">
        <v>34</v>
      </c>
      <c r="M514">
        <v>0</v>
      </c>
      <c r="N514">
        <v>3</v>
      </c>
      <c r="O514">
        <v>0</v>
      </c>
      <c r="P514">
        <v>1</v>
      </c>
      <c r="Q514">
        <v>0</v>
      </c>
      <c r="R514">
        <v>0</v>
      </c>
      <c r="S514" t="s">
        <v>55</v>
      </c>
      <c r="T514" t="s">
        <v>114</v>
      </c>
      <c r="U514" t="s">
        <v>65</v>
      </c>
      <c r="V514">
        <v>30</v>
      </c>
      <c r="W514" t="s">
        <v>1521</v>
      </c>
      <c r="X514" t="s">
        <v>240</v>
      </c>
      <c r="Y514" t="s">
        <v>1522</v>
      </c>
    </row>
    <row r="515" spans="1:25" x14ac:dyDescent="0.45">
      <c r="A515" t="s">
        <v>1523</v>
      </c>
      <c r="B515" t="s">
        <v>25</v>
      </c>
      <c r="C515" s="3" t="s">
        <v>1501</v>
      </c>
      <c r="D515" s="3" t="e">
        <f t="shared" ref="D515:D578" si="16">DATEVALUE(C515)</f>
        <v>#VALUE!</v>
      </c>
      <c r="E515" t="s">
        <v>1524</v>
      </c>
      <c r="F515" s="4">
        <f t="shared" ref="F515:F578" si="17">TIMEVALUE(E515)</f>
        <v>0.25208333333333333</v>
      </c>
      <c r="G515" t="s">
        <v>1525</v>
      </c>
      <c r="H515" t="s">
        <v>30</v>
      </c>
      <c r="I515" t="s">
        <v>31</v>
      </c>
      <c r="J515" t="s">
        <v>53</v>
      </c>
      <c r="K515" t="s">
        <v>491</v>
      </c>
      <c r="L515" t="s">
        <v>34</v>
      </c>
      <c r="M515">
        <v>4</v>
      </c>
      <c r="N515">
        <v>2</v>
      </c>
      <c r="O515">
        <v>5</v>
      </c>
      <c r="P515">
        <v>2</v>
      </c>
      <c r="Q515">
        <v>4</v>
      </c>
      <c r="R515">
        <v>4</v>
      </c>
      <c r="S515" t="s">
        <v>85</v>
      </c>
      <c r="T515" t="s">
        <v>56</v>
      </c>
      <c r="U515" t="s">
        <v>65</v>
      </c>
      <c r="V515">
        <v>35</v>
      </c>
      <c r="W515" t="s">
        <v>207</v>
      </c>
      <c r="X515" t="s">
        <v>240</v>
      </c>
      <c r="Y515" t="s">
        <v>39</v>
      </c>
    </row>
    <row r="516" spans="1:25" x14ac:dyDescent="0.45">
      <c r="A516" t="s">
        <v>1526</v>
      </c>
      <c r="B516" t="s">
        <v>25</v>
      </c>
      <c r="C516" s="3" t="s">
        <v>1501</v>
      </c>
      <c r="D516" s="3" t="e">
        <f t="shared" si="16"/>
        <v>#VALUE!</v>
      </c>
      <c r="E516" t="s">
        <v>1527</v>
      </c>
      <c r="F516" s="4">
        <f t="shared" si="17"/>
        <v>0.29305555555555557</v>
      </c>
      <c r="G516" t="s">
        <v>809</v>
      </c>
      <c r="H516" t="s">
        <v>123</v>
      </c>
      <c r="I516" t="s">
        <v>31</v>
      </c>
      <c r="J516" t="s">
        <v>53</v>
      </c>
      <c r="K516" t="s">
        <v>103</v>
      </c>
      <c r="L516" t="s">
        <v>46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>
        <v>10</v>
      </c>
      <c r="S516" t="s">
        <v>55</v>
      </c>
      <c r="T516" t="s">
        <v>36</v>
      </c>
      <c r="U516" t="s">
        <v>65</v>
      </c>
      <c r="V516">
        <v>38</v>
      </c>
      <c r="W516" t="s">
        <v>109</v>
      </c>
      <c r="X516" t="s">
        <v>240</v>
      </c>
      <c r="Y516" t="s">
        <v>58</v>
      </c>
    </row>
    <row r="517" spans="1:25" x14ac:dyDescent="0.45">
      <c r="A517" t="s">
        <v>1528</v>
      </c>
      <c r="B517" t="s">
        <v>25</v>
      </c>
      <c r="C517" s="3" t="s">
        <v>1501</v>
      </c>
      <c r="D517" s="3" t="e">
        <f t="shared" si="16"/>
        <v>#VALUE!</v>
      </c>
      <c r="E517" t="s">
        <v>335</v>
      </c>
      <c r="F517" s="4">
        <f t="shared" si="17"/>
        <v>0.39097222222222222</v>
      </c>
      <c r="G517" t="s">
        <v>275</v>
      </c>
      <c r="H517" t="s">
        <v>1529</v>
      </c>
      <c r="I517" t="s">
        <v>31</v>
      </c>
      <c r="J517" t="s">
        <v>94</v>
      </c>
      <c r="K517" t="s">
        <v>1530</v>
      </c>
      <c r="L517" t="s">
        <v>34</v>
      </c>
      <c r="M517">
        <v>6</v>
      </c>
      <c r="N517">
        <v>6</v>
      </c>
      <c r="O517">
        <v>7</v>
      </c>
      <c r="P517">
        <v>7</v>
      </c>
      <c r="Q517">
        <v>6</v>
      </c>
      <c r="R517">
        <v>7</v>
      </c>
      <c r="S517" t="s">
        <v>55</v>
      </c>
      <c r="T517" t="s">
        <v>114</v>
      </c>
      <c r="U517" t="s">
        <v>65</v>
      </c>
      <c r="V517">
        <v>30</v>
      </c>
      <c r="W517" t="s">
        <v>38</v>
      </c>
      <c r="X517" t="s">
        <v>240</v>
      </c>
      <c r="Y517" t="s">
        <v>48</v>
      </c>
    </row>
    <row r="518" spans="1:25" x14ac:dyDescent="0.45">
      <c r="A518" t="s">
        <v>1531</v>
      </c>
      <c r="B518" t="s">
        <v>25</v>
      </c>
      <c r="C518" s="3" t="s">
        <v>1501</v>
      </c>
      <c r="D518" s="3" t="e">
        <f t="shared" si="16"/>
        <v>#VALUE!</v>
      </c>
      <c r="E518" t="s">
        <v>1532</v>
      </c>
      <c r="F518" s="4">
        <f t="shared" si="17"/>
        <v>0.39166666666666666</v>
      </c>
      <c r="G518" t="s">
        <v>467</v>
      </c>
      <c r="H518" t="s">
        <v>30</v>
      </c>
      <c r="I518" t="s">
        <v>31</v>
      </c>
      <c r="J518" t="s">
        <v>44</v>
      </c>
      <c r="K518" t="s">
        <v>103</v>
      </c>
      <c r="L518" t="s">
        <v>34</v>
      </c>
      <c r="M518">
        <v>3</v>
      </c>
      <c r="N518">
        <v>3</v>
      </c>
      <c r="O518">
        <v>5</v>
      </c>
      <c r="P518">
        <v>4</v>
      </c>
      <c r="Q518">
        <v>4</v>
      </c>
      <c r="R518">
        <v>4</v>
      </c>
      <c r="S518" t="s">
        <v>85</v>
      </c>
      <c r="T518" t="s">
        <v>70</v>
      </c>
      <c r="U518" t="s">
        <v>37</v>
      </c>
      <c r="V518">
        <v>48</v>
      </c>
      <c r="W518" t="s">
        <v>38</v>
      </c>
      <c r="X518" t="s">
        <v>237</v>
      </c>
      <c r="Y518" t="s">
        <v>39</v>
      </c>
    </row>
    <row r="519" spans="1:25" x14ac:dyDescent="0.45">
      <c r="A519" t="s">
        <v>1533</v>
      </c>
      <c r="B519" t="s">
        <v>25</v>
      </c>
      <c r="C519" s="3" t="s">
        <v>1501</v>
      </c>
      <c r="D519" s="3" t="e">
        <f t="shared" si="16"/>
        <v>#VALUE!</v>
      </c>
      <c r="E519" t="s">
        <v>374</v>
      </c>
      <c r="F519" s="4">
        <f t="shared" si="17"/>
        <v>0.3972222222222222</v>
      </c>
      <c r="G519" t="s">
        <v>467</v>
      </c>
      <c r="H519" t="s">
        <v>30</v>
      </c>
      <c r="I519" t="s">
        <v>31</v>
      </c>
      <c r="J519" t="s">
        <v>94</v>
      </c>
      <c r="K519" t="s">
        <v>45</v>
      </c>
      <c r="L519" t="s">
        <v>1534</v>
      </c>
      <c r="M519">
        <v>5</v>
      </c>
      <c r="N519">
        <v>8</v>
      </c>
      <c r="O519">
        <v>5</v>
      </c>
      <c r="P519">
        <v>5</v>
      </c>
      <c r="Q519">
        <v>5</v>
      </c>
      <c r="R519">
        <v>4</v>
      </c>
      <c r="S519" t="s">
        <v>55</v>
      </c>
      <c r="T519" t="s">
        <v>36</v>
      </c>
      <c r="U519" t="s">
        <v>37</v>
      </c>
      <c r="V519">
        <v>32</v>
      </c>
      <c r="W519" t="s">
        <v>47</v>
      </c>
      <c r="X519" t="s">
        <v>240</v>
      </c>
      <c r="Y519" t="s">
        <v>48</v>
      </c>
    </row>
    <row r="520" spans="1:25" x14ac:dyDescent="0.45">
      <c r="A520" t="s">
        <v>1535</v>
      </c>
      <c r="B520" t="s">
        <v>25</v>
      </c>
      <c r="C520" s="3" t="s">
        <v>1501</v>
      </c>
      <c r="D520" s="3" t="e">
        <f t="shared" si="16"/>
        <v>#VALUE!</v>
      </c>
      <c r="E520" t="s">
        <v>1435</v>
      </c>
      <c r="F520" s="4">
        <f t="shared" si="17"/>
        <v>0.4375</v>
      </c>
      <c r="G520" t="s">
        <v>1536</v>
      </c>
      <c r="H520" t="s">
        <v>1537</v>
      </c>
      <c r="I520" t="s">
        <v>31</v>
      </c>
      <c r="J520" t="s">
        <v>44</v>
      </c>
      <c r="K520" t="s">
        <v>90</v>
      </c>
      <c r="L520" t="s">
        <v>34</v>
      </c>
      <c r="M520">
        <v>4</v>
      </c>
      <c r="N520">
        <v>5</v>
      </c>
      <c r="O520">
        <v>4</v>
      </c>
      <c r="P520">
        <v>5</v>
      </c>
      <c r="Q520">
        <v>5</v>
      </c>
      <c r="R520">
        <v>6</v>
      </c>
      <c r="S520" t="s">
        <v>69</v>
      </c>
      <c r="T520" t="s">
        <v>56</v>
      </c>
      <c r="U520" t="s">
        <v>37</v>
      </c>
      <c r="V520">
        <v>27</v>
      </c>
      <c r="W520" t="s">
        <v>147</v>
      </c>
      <c r="X520" t="s">
        <v>237</v>
      </c>
      <c r="Y520" t="s">
        <v>1400</v>
      </c>
    </row>
    <row r="521" spans="1:25" x14ac:dyDescent="0.45">
      <c r="A521" t="s">
        <v>1538</v>
      </c>
      <c r="B521" t="s">
        <v>25</v>
      </c>
      <c r="C521" s="3" t="s">
        <v>1501</v>
      </c>
      <c r="D521" s="3" t="e">
        <f t="shared" si="16"/>
        <v>#VALUE!</v>
      </c>
      <c r="E521" t="s">
        <v>1539</v>
      </c>
      <c r="F521" s="4">
        <f t="shared" si="17"/>
        <v>0.45</v>
      </c>
      <c r="G521" t="s">
        <v>157</v>
      </c>
      <c r="H521" t="s">
        <v>1540</v>
      </c>
      <c r="I521" t="s">
        <v>43</v>
      </c>
      <c r="J521" t="s">
        <v>44</v>
      </c>
      <c r="K521" t="s">
        <v>103</v>
      </c>
      <c r="L521" t="s">
        <v>34</v>
      </c>
      <c r="M521">
        <v>7</v>
      </c>
      <c r="N521">
        <v>9</v>
      </c>
      <c r="O521">
        <v>5</v>
      </c>
      <c r="P521">
        <v>6</v>
      </c>
      <c r="Q521">
        <v>6</v>
      </c>
      <c r="R521">
        <v>7</v>
      </c>
      <c r="S521" t="s">
        <v>55</v>
      </c>
      <c r="T521" t="s">
        <v>1541</v>
      </c>
      <c r="U521" t="s">
        <v>37</v>
      </c>
      <c r="V521">
        <v>27</v>
      </c>
      <c r="W521" t="s">
        <v>109</v>
      </c>
      <c r="X521" t="s">
        <v>240</v>
      </c>
      <c r="Y521" t="s">
        <v>39</v>
      </c>
    </row>
    <row r="522" spans="1:25" x14ac:dyDescent="0.45">
      <c r="A522" t="s">
        <v>1542</v>
      </c>
      <c r="B522" t="s">
        <v>25</v>
      </c>
      <c r="C522" s="3" t="s">
        <v>1501</v>
      </c>
      <c r="D522" s="3" t="e">
        <f t="shared" si="16"/>
        <v>#VALUE!</v>
      </c>
      <c r="E522" t="s">
        <v>1543</v>
      </c>
      <c r="F522" s="4">
        <f t="shared" si="17"/>
        <v>0.47916666666666669</v>
      </c>
      <c r="G522" t="s">
        <v>514</v>
      </c>
      <c r="H522" t="s">
        <v>123</v>
      </c>
      <c r="I522" t="s">
        <v>43</v>
      </c>
      <c r="J522" t="s">
        <v>53</v>
      </c>
      <c r="K522" t="s">
        <v>45</v>
      </c>
      <c r="L522" t="s">
        <v>34</v>
      </c>
      <c r="M522">
        <v>8</v>
      </c>
      <c r="N522">
        <v>7</v>
      </c>
      <c r="O522">
        <v>6</v>
      </c>
      <c r="P522">
        <v>7</v>
      </c>
      <c r="Q522">
        <v>8</v>
      </c>
      <c r="R522">
        <v>10</v>
      </c>
      <c r="S522" t="s">
        <v>85</v>
      </c>
      <c r="T522" t="s">
        <v>36</v>
      </c>
      <c r="U522" t="s">
        <v>37</v>
      </c>
      <c r="V522">
        <v>24</v>
      </c>
      <c r="W522" t="s">
        <v>1544</v>
      </c>
      <c r="X522" t="s">
        <v>237</v>
      </c>
      <c r="Y522" t="s">
        <v>161</v>
      </c>
    </row>
    <row r="523" spans="1:25" x14ac:dyDescent="0.45">
      <c r="A523" t="s">
        <v>1545</v>
      </c>
      <c r="B523" t="s">
        <v>25</v>
      </c>
      <c r="C523" s="3" t="s">
        <v>1501</v>
      </c>
      <c r="D523" s="3" t="e">
        <f t="shared" si="16"/>
        <v>#VALUE!</v>
      </c>
      <c r="E523" t="s">
        <v>636</v>
      </c>
      <c r="F523" s="4">
        <f t="shared" si="17"/>
        <v>0.4861111111111111</v>
      </c>
      <c r="G523" t="s">
        <v>1059</v>
      </c>
      <c r="H523" t="s">
        <v>77</v>
      </c>
      <c r="I523" t="s">
        <v>31</v>
      </c>
      <c r="J523" t="s">
        <v>63</v>
      </c>
      <c r="K523" t="s">
        <v>45</v>
      </c>
      <c r="L523" t="s">
        <v>46</v>
      </c>
      <c r="M523">
        <v>9</v>
      </c>
      <c r="N523">
        <v>9</v>
      </c>
      <c r="O523">
        <v>9</v>
      </c>
      <c r="P523">
        <v>9</v>
      </c>
      <c r="Q523">
        <v>8</v>
      </c>
      <c r="R523">
        <v>8</v>
      </c>
      <c r="S523" t="s">
        <v>69</v>
      </c>
      <c r="T523" t="s">
        <v>70</v>
      </c>
      <c r="U523" t="s">
        <v>37</v>
      </c>
      <c r="V523">
        <v>42</v>
      </c>
      <c r="W523" t="s">
        <v>38</v>
      </c>
      <c r="X523" t="s">
        <v>324</v>
      </c>
      <c r="Y523" t="s">
        <v>48</v>
      </c>
    </row>
    <row r="524" spans="1:25" x14ac:dyDescent="0.45">
      <c r="A524" t="s">
        <v>1546</v>
      </c>
      <c r="B524" t="s">
        <v>25</v>
      </c>
      <c r="C524" s="3" t="s">
        <v>1501</v>
      </c>
      <c r="D524" s="3" t="e">
        <f t="shared" si="16"/>
        <v>#VALUE!</v>
      </c>
      <c r="E524" t="s">
        <v>1547</v>
      </c>
      <c r="F524" s="4">
        <f t="shared" si="17"/>
        <v>0.49930555555555556</v>
      </c>
      <c r="G524" t="s">
        <v>690</v>
      </c>
      <c r="H524" t="s">
        <v>266</v>
      </c>
      <c r="I524" t="s">
        <v>43</v>
      </c>
      <c r="J524" t="s">
        <v>44</v>
      </c>
      <c r="K524" t="s">
        <v>103</v>
      </c>
      <c r="L524" t="s">
        <v>34</v>
      </c>
      <c r="M524">
        <v>8</v>
      </c>
      <c r="N524">
        <v>6</v>
      </c>
      <c r="O524">
        <v>6</v>
      </c>
      <c r="P524">
        <v>8</v>
      </c>
      <c r="Q524">
        <v>7</v>
      </c>
      <c r="R524">
        <v>8</v>
      </c>
      <c r="S524" t="s">
        <v>85</v>
      </c>
      <c r="T524" t="s">
        <v>70</v>
      </c>
      <c r="U524" t="s">
        <v>37</v>
      </c>
      <c r="V524">
        <v>24</v>
      </c>
      <c r="W524" t="s">
        <v>38</v>
      </c>
      <c r="X524" t="s">
        <v>237</v>
      </c>
      <c r="Y524" t="s">
        <v>91</v>
      </c>
    </row>
    <row r="525" spans="1:25" x14ac:dyDescent="0.45">
      <c r="A525" t="s">
        <v>1548</v>
      </c>
      <c r="B525" t="s">
        <v>25</v>
      </c>
      <c r="C525" s="3" t="s">
        <v>1501</v>
      </c>
      <c r="D525" s="3" t="e">
        <f t="shared" si="16"/>
        <v>#VALUE!</v>
      </c>
      <c r="E525" t="s">
        <v>1549</v>
      </c>
      <c r="F525" s="4">
        <f t="shared" si="17"/>
        <v>0.5</v>
      </c>
      <c r="G525" t="s">
        <v>331</v>
      </c>
      <c r="H525" t="s">
        <v>790</v>
      </c>
      <c r="I525" t="s">
        <v>31</v>
      </c>
      <c r="J525" t="s">
        <v>53</v>
      </c>
      <c r="K525" t="s">
        <v>103</v>
      </c>
      <c r="L525" t="s">
        <v>34</v>
      </c>
      <c r="M525">
        <v>5</v>
      </c>
      <c r="N525">
        <v>9</v>
      </c>
      <c r="O525">
        <v>7</v>
      </c>
      <c r="P525">
        <v>7</v>
      </c>
      <c r="Q525">
        <v>6</v>
      </c>
      <c r="R525">
        <v>9</v>
      </c>
      <c r="S525" t="s">
        <v>55</v>
      </c>
      <c r="T525" t="s">
        <v>70</v>
      </c>
      <c r="U525" t="s">
        <v>37</v>
      </c>
      <c r="V525">
        <v>23</v>
      </c>
      <c r="W525" t="s">
        <v>147</v>
      </c>
      <c r="X525" t="s">
        <v>237</v>
      </c>
      <c r="Y525" t="s">
        <v>48</v>
      </c>
    </row>
    <row r="526" spans="1:25" x14ac:dyDescent="0.45">
      <c r="A526" t="s">
        <v>1550</v>
      </c>
      <c r="B526" t="s">
        <v>25</v>
      </c>
      <c r="C526" s="3" t="s">
        <v>1501</v>
      </c>
      <c r="D526" s="3" t="e">
        <f t="shared" si="16"/>
        <v>#VALUE!</v>
      </c>
      <c r="E526" t="s">
        <v>706</v>
      </c>
      <c r="F526" s="4">
        <f t="shared" si="17"/>
        <v>0.51736111111111116</v>
      </c>
      <c r="G526" t="s">
        <v>128</v>
      </c>
      <c r="H526" t="s">
        <v>30</v>
      </c>
      <c r="I526" t="s">
        <v>43</v>
      </c>
      <c r="J526" t="s">
        <v>53</v>
      </c>
      <c r="K526" t="s">
        <v>103</v>
      </c>
      <c r="L526" t="s">
        <v>34</v>
      </c>
      <c r="M526">
        <v>7</v>
      </c>
      <c r="N526">
        <v>9</v>
      </c>
      <c r="O526">
        <v>8</v>
      </c>
      <c r="P526">
        <v>8</v>
      </c>
      <c r="Q526">
        <v>4</v>
      </c>
      <c r="R526">
        <v>2</v>
      </c>
      <c r="S526" t="s">
        <v>85</v>
      </c>
      <c r="T526" t="s">
        <v>70</v>
      </c>
      <c r="U526" t="s">
        <v>37</v>
      </c>
      <c r="V526">
        <v>26</v>
      </c>
      <c r="W526" t="s">
        <v>147</v>
      </c>
      <c r="X526" t="s">
        <v>237</v>
      </c>
      <c r="Y526" t="s">
        <v>48</v>
      </c>
    </row>
    <row r="527" spans="1:25" x14ac:dyDescent="0.45">
      <c r="A527" t="s">
        <v>1551</v>
      </c>
      <c r="B527" t="s">
        <v>25</v>
      </c>
      <c r="C527" s="3" t="s">
        <v>1501</v>
      </c>
      <c r="D527" s="3" t="e">
        <f t="shared" si="16"/>
        <v>#VALUE!</v>
      </c>
      <c r="E527" t="s">
        <v>727</v>
      </c>
      <c r="F527" s="4">
        <f t="shared" si="17"/>
        <v>0.5395833333333333</v>
      </c>
      <c r="G527" t="s">
        <v>646</v>
      </c>
      <c r="H527" t="s">
        <v>30</v>
      </c>
      <c r="I527" t="s">
        <v>43</v>
      </c>
      <c r="J527" t="s">
        <v>44</v>
      </c>
      <c r="K527" t="s">
        <v>1552</v>
      </c>
      <c r="L527" t="s">
        <v>84</v>
      </c>
      <c r="M527">
        <v>5</v>
      </c>
      <c r="N527">
        <v>6</v>
      </c>
      <c r="O527">
        <v>6</v>
      </c>
      <c r="P527">
        <v>2</v>
      </c>
      <c r="Q527">
        <v>2</v>
      </c>
      <c r="R527">
        <v>3</v>
      </c>
      <c r="S527" t="s">
        <v>85</v>
      </c>
      <c r="T527" t="s">
        <v>70</v>
      </c>
      <c r="U527" t="s">
        <v>37</v>
      </c>
      <c r="V527">
        <v>32</v>
      </c>
      <c r="W527" t="s">
        <v>267</v>
      </c>
      <c r="X527" t="s">
        <v>237</v>
      </c>
      <c r="Y527" t="s">
        <v>58</v>
      </c>
    </row>
    <row r="528" spans="1:25" x14ac:dyDescent="0.45">
      <c r="A528" t="s">
        <v>1553</v>
      </c>
      <c r="B528" t="s">
        <v>25</v>
      </c>
      <c r="C528" s="3" t="s">
        <v>1501</v>
      </c>
      <c r="D528" s="3" t="e">
        <f t="shared" si="16"/>
        <v>#VALUE!</v>
      </c>
      <c r="E528" t="s">
        <v>1554</v>
      </c>
      <c r="F528" s="4">
        <f t="shared" si="17"/>
        <v>0.55833333333333335</v>
      </c>
      <c r="G528" t="s">
        <v>703</v>
      </c>
      <c r="H528" t="s">
        <v>1555</v>
      </c>
      <c r="I528" t="s">
        <v>43</v>
      </c>
      <c r="J528" t="s">
        <v>53</v>
      </c>
      <c r="K528" t="s">
        <v>90</v>
      </c>
      <c r="L528" t="s">
        <v>34</v>
      </c>
      <c r="M528">
        <v>4</v>
      </c>
      <c r="N528">
        <v>3</v>
      </c>
      <c r="O528">
        <v>2</v>
      </c>
      <c r="P528">
        <v>0</v>
      </c>
      <c r="Q528">
        <v>0</v>
      </c>
      <c r="R528">
        <v>0</v>
      </c>
      <c r="S528" t="s">
        <v>85</v>
      </c>
      <c r="T528" t="s">
        <v>56</v>
      </c>
      <c r="U528" t="s">
        <v>37</v>
      </c>
      <c r="V528">
        <v>35</v>
      </c>
      <c r="W528" t="s">
        <v>1556</v>
      </c>
      <c r="X528" t="s">
        <v>237</v>
      </c>
      <c r="Y528" t="s">
        <v>39</v>
      </c>
    </row>
    <row r="529" spans="1:25" x14ac:dyDescent="0.45">
      <c r="A529" t="s">
        <v>1557</v>
      </c>
      <c r="B529" t="s">
        <v>25</v>
      </c>
      <c r="C529" s="3" t="s">
        <v>1501</v>
      </c>
      <c r="D529" s="3" t="e">
        <f t="shared" si="16"/>
        <v>#VALUE!</v>
      </c>
      <c r="E529" t="s">
        <v>1279</v>
      </c>
      <c r="F529" s="4">
        <f t="shared" si="17"/>
        <v>0.56041666666666667</v>
      </c>
      <c r="G529" t="s">
        <v>239</v>
      </c>
      <c r="H529" t="s">
        <v>30</v>
      </c>
      <c r="I529" t="s">
        <v>31</v>
      </c>
      <c r="J529" t="s">
        <v>32</v>
      </c>
      <c r="K529" t="s">
        <v>33</v>
      </c>
      <c r="L529" t="s">
        <v>34</v>
      </c>
      <c r="M529">
        <v>4</v>
      </c>
      <c r="N529">
        <v>3</v>
      </c>
      <c r="O529">
        <v>4</v>
      </c>
      <c r="P529">
        <v>2</v>
      </c>
      <c r="Q529">
        <v>2</v>
      </c>
      <c r="R529">
        <v>2</v>
      </c>
      <c r="S529" t="s">
        <v>55</v>
      </c>
      <c r="T529" t="s">
        <v>56</v>
      </c>
      <c r="U529" t="s">
        <v>37</v>
      </c>
      <c r="V529">
        <v>41</v>
      </c>
      <c r="W529" t="s">
        <v>38</v>
      </c>
      <c r="X529" t="s">
        <v>227</v>
      </c>
      <c r="Y529" t="s">
        <v>39</v>
      </c>
    </row>
    <row r="530" spans="1:25" x14ac:dyDescent="0.45">
      <c r="A530" t="s">
        <v>1558</v>
      </c>
      <c r="B530" t="s">
        <v>25</v>
      </c>
      <c r="C530" s="3" t="s">
        <v>1501</v>
      </c>
      <c r="D530" s="3" t="e">
        <f t="shared" si="16"/>
        <v>#VALUE!</v>
      </c>
      <c r="E530" t="s">
        <v>778</v>
      </c>
      <c r="F530" s="4">
        <f t="shared" si="17"/>
        <v>0.57777777777777772</v>
      </c>
      <c r="G530" t="s">
        <v>700</v>
      </c>
      <c r="H530" t="s">
        <v>1559</v>
      </c>
      <c r="I530" t="s">
        <v>43</v>
      </c>
      <c r="J530" t="s">
        <v>44</v>
      </c>
      <c r="K530" t="s">
        <v>108</v>
      </c>
      <c r="L530" t="s">
        <v>34</v>
      </c>
      <c r="M530">
        <v>4</v>
      </c>
      <c r="N530">
        <v>9</v>
      </c>
      <c r="O530">
        <v>8</v>
      </c>
      <c r="P530">
        <v>8</v>
      </c>
      <c r="Q530">
        <v>6</v>
      </c>
      <c r="R530">
        <v>7</v>
      </c>
      <c r="S530" t="s">
        <v>85</v>
      </c>
      <c r="T530" t="s">
        <v>70</v>
      </c>
      <c r="U530" t="s">
        <v>37</v>
      </c>
      <c r="V530">
        <v>25</v>
      </c>
      <c r="W530" t="s">
        <v>38</v>
      </c>
      <c r="X530" t="s">
        <v>240</v>
      </c>
      <c r="Y530" t="s">
        <v>39</v>
      </c>
    </row>
    <row r="531" spans="1:25" x14ac:dyDescent="0.45">
      <c r="A531" t="s">
        <v>1560</v>
      </c>
      <c r="B531" t="s">
        <v>25</v>
      </c>
      <c r="C531" s="3" t="s">
        <v>1501</v>
      </c>
      <c r="D531" s="3" t="e">
        <f t="shared" si="16"/>
        <v>#VALUE!</v>
      </c>
      <c r="E531" t="s">
        <v>784</v>
      </c>
      <c r="F531" s="4">
        <f t="shared" si="17"/>
        <v>0.5805555555555556</v>
      </c>
      <c r="G531" t="s">
        <v>122</v>
      </c>
      <c r="H531" t="s">
        <v>30</v>
      </c>
      <c r="I531" t="s">
        <v>31</v>
      </c>
      <c r="J531" t="s">
        <v>53</v>
      </c>
      <c r="K531" t="s">
        <v>113</v>
      </c>
      <c r="L531" t="s">
        <v>34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35</v>
      </c>
      <c r="T531" t="s">
        <v>70</v>
      </c>
      <c r="U531" t="s">
        <v>65</v>
      </c>
      <c r="V531">
        <v>28</v>
      </c>
      <c r="W531" t="s">
        <v>38</v>
      </c>
      <c r="X531" t="s">
        <v>240</v>
      </c>
      <c r="Y531" t="s">
        <v>48</v>
      </c>
    </row>
    <row r="532" spans="1:25" x14ac:dyDescent="0.45">
      <c r="A532" t="s">
        <v>1561</v>
      </c>
      <c r="B532" t="s">
        <v>25</v>
      </c>
      <c r="C532" s="3" t="s">
        <v>1501</v>
      </c>
      <c r="D532" s="3" t="e">
        <f t="shared" si="16"/>
        <v>#VALUE!</v>
      </c>
      <c r="E532" t="s">
        <v>1562</v>
      </c>
      <c r="F532" s="4">
        <f t="shared" si="17"/>
        <v>0.58750000000000002</v>
      </c>
      <c r="G532" t="s">
        <v>1563</v>
      </c>
      <c r="H532" t="s">
        <v>30</v>
      </c>
      <c r="I532" t="s">
        <v>31</v>
      </c>
      <c r="J532" t="s">
        <v>44</v>
      </c>
      <c r="K532" t="s">
        <v>794</v>
      </c>
      <c r="L532" t="s">
        <v>34</v>
      </c>
      <c r="M532">
        <v>3</v>
      </c>
      <c r="N532">
        <v>6</v>
      </c>
      <c r="O532">
        <v>5</v>
      </c>
      <c r="P532">
        <v>5</v>
      </c>
      <c r="Q532">
        <v>5</v>
      </c>
      <c r="R532">
        <v>6</v>
      </c>
      <c r="S532" t="s">
        <v>85</v>
      </c>
      <c r="T532" t="s">
        <v>70</v>
      </c>
      <c r="U532" t="s">
        <v>37</v>
      </c>
      <c r="V532">
        <v>29</v>
      </c>
      <c r="W532" t="s">
        <v>38</v>
      </c>
      <c r="X532" t="s">
        <v>237</v>
      </c>
      <c r="Y532" t="s">
        <v>39</v>
      </c>
    </row>
    <row r="533" spans="1:25" x14ac:dyDescent="0.45">
      <c r="A533" t="s">
        <v>1564</v>
      </c>
      <c r="B533" t="s">
        <v>25</v>
      </c>
      <c r="C533" s="3" t="s">
        <v>1501</v>
      </c>
      <c r="D533" s="3" t="e">
        <f t="shared" si="16"/>
        <v>#VALUE!</v>
      </c>
      <c r="E533" t="s">
        <v>857</v>
      </c>
      <c r="F533" s="4">
        <f t="shared" si="17"/>
        <v>0.61875000000000002</v>
      </c>
      <c r="G533" t="s">
        <v>42</v>
      </c>
      <c r="H533" t="s">
        <v>123</v>
      </c>
      <c r="I533" t="s">
        <v>43</v>
      </c>
      <c r="J533" t="s">
        <v>53</v>
      </c>
      <c r="K533" t="s">
        <v>90</v>
      </c>
      <c r="L533" t="s">
        <v>34</v>
      </c>
      <c r="M533">
        <v>8</v>
      </c>
      <c r="N533">
        <v>10</v>
      </c>
      <c r="O533">
        <v>6</v>
      </c>
      <c r="P533">
        <v>7</v>
      </c>
      <c r="Q533">
        <v>8</v>
      </c>
      <c r="R533">
        <v>8</v>
      </c>
      <c r="S533" t="s">
        <v>85</v>
      </c>
      <c r="T533" t="s">
        <v>70</v>
      </c>
      <c r="U533" t="s">
        <v>37</v>
      </c>
      <c r="V533">
        <v>19</v>
      </c>
      <c r="W533" t="s">
        <v>38</v>
      </c>
      <c r="X533" t="s">
        <v>227</v>
      </c>
      <c r="Y533" t="s">
        <v>39</v>
      </c>
    </row>
    <row r="534" spans="1:25" x14ac:dyDescent="0.45">
      <c r="A534" t="s">
        <v>1565</v>
      </c>
      <c r="B534" t="s">
        <v>25</v>
      </c>
      <c r="C534" s="3" t="s">
        <v>1501</v>
      </c>
      <c r="D534" s="3" t="e">
        <f t="shared" si="16"/>
        <v>#VALUE!</v>
      </c>
      <c r="E534" t="s">
        <v>1566</v>
      </c>
      <c r="F534" s="4">
        <f t="shared" si="17"/>
        <v>0.62430555555555556</v>
      </c>
      <c r="G534" t="s">
        <v>81</v>
      </c>
      <c r="H534" t="s">
        <v>30</v>
      </c>
      <c r="I534" t="s">
        <v>31</v>
      </c>
      <c r="J534" t="s">
        <v>44</v>
      </c>
      <c r="K534" t="s">
        <v>838</v>
      </c>
      <c r="L534" t="s">
        <v>34</v>
      </c>
      <c r="M534">
        <v>5</v>
      </c>
      <c r="N534">
        <v>6</v>
      </c>
      <c r="O534">
        <v>9</v>
      </c>
      <c r="P534">
        <v>6</v>
      </c>
      <c r="Q534">
        <v>7</v>
      </c>
      <c r="R534">
        <v>10</v>
      </c>
      <c r="S534" t="s">
        <v>85</v>
      </c>
      <c r="T534" t="s">
        <v>70</v>
      </c>
      <c r="U534" t="s">
        <v>37</v>
      </c>
      <c r="V534">
        <v>27</v>
      </c>
      <c r="W534" t="s">
        <v>147</v>
      </c>
      <c r="X534" t="s">
        <v>237</v>
      </c>
      <c r="Y534" t="s">
        <v>48</v>
      </c>
    </row>
    <row r="535" spans="1:25" x14ac:dyDescent="0.45">
      <c r="A535" t="s">
        <v>1567</v>
      </c>
      <c r="B535" t="s">
        <v>25</v>
      </c>
      <c r="C535" s="3" t="s">
        <v>1501</v>
      </c>
      <c r="D535" s="3" t="e">
        <f t="shared" si="16"/>
        <v>#VALUE!</v>
      </c>
      <c r="E535" t="s">
        <v>888</v>
      </c>
      <c r="F535" s="4">
        <f t="shared" si="17"/>
        <v>0.64236111111111116</v>
      </c>
      <c r="G535" t="s">
        <v>186</v>
      </c>
      <c r="H535" t="s">
        <v>123</v>
      </c>
      <c r="I535" t="s">
        <v>31</v>
      </c>
      <c r="J535" t="s">
        <v>53</v>
      </c>
      <c r="K535" t="s">
        <v>45</v>
      </c>
      <c r="L535" t="s">
        <v>34</v>
      </c>
      <c r="M535">
        <v>8</v>
      </c>
      <c r="N535">
        <v>9</v>
      </c>
      <c r="O535">
        <v>9</v>
      </c>
      <c r="P535">
        <v>7</v>
      </c>
      <c r="Q535">
        <v>8</v>
      </c>
      <c r="R535">
        <v>8</v>
      </c>
      <c r="S535" t="s">
        <v>85</v>
      </c>
      <c r="T535" t="s">
        <v>70</v>
      </c>
      <c r="U535" t="s">
        <v>37</v>
      </c>
      <c r="V535">
        <v>25</v>
      </c>
      <c r="W535" t="s">
        <v>78</v>
      </c>
      <c r="X535" t="s">
        <v>237</v>
      </c>
      <c r="Y535" t="s">
        <v>39</v>
      </c>
    </row>
    <row r="536" spans="1:25" x14ac:dyDescent="0.45">
      <c r="A536" t="s">
        <v>1568</v>
      </c>
      <c r="B536" t="s">
        <v>25</v>
      </c>
      <c r="C536" s="3" t="s">
        <v>1501</v>
      </c>
      <c r="D536" s="3" t="e">
        <f t="shared" si="16"/>
        <v>#VALUE!</v>
      </c>
      <c r="E536" t="s">
        <v>1569</v>
      </c>
      <c r="F536" s="4">
        <f t="shared" si="17"/>
        <v>0.67013888888888884</v>
      </c>
      <c r="G536" t="s">
        <v>269</v>
      </c>
      <c r="H536" t="s">
        <v>30</v>
      </c>
      <c r="I536" t="s">
        <v>31</v>
      </c>
      <c r="J536" t="s">
        <v>44</v>
      </c>
      <c r="K536" t="s">
        <v>1570</v>
      </c>
      <c r="L536" t="s">
        <v>34</v>
      </c>
      <c r="M536">
        <v>6</v>
      </c>
      <c r="N536">
        <v>10</v>
      </c>
      <c r="O536">
        <v>10</v>
      </c>
      <c r="P536">
        <v>10</v>
      </c>
      <c r="Q536">
        <v>10</v>
      </c>
      <c r="R536">
        <v>8</v>
      </c>
      <c r="S536" t="s">
        <v>69</v>
      </c>
      <c r="T536" t="s">
        <v>70</v>
      </c>
      <c r="U536" t="s">
        <v>65</v>
      </c>
      <c r="V536">
        <v>26</v>
      </c>
      <c r="W536" t="s">
        <v>47</v>
      </c>
      <c r="X536" t="s">
        <v>240</v>
      </c>
      <c r="Y536" t="s">
        <v>48</v>
      </c>
    </row>
    <row r="537" spans="1:25" x14ac:dyDescent="0.45">
      <c r="A537" t="s">
        <v>1571</v>
      </c>
      <c r="B537" t="s">
        <v>25</v>
      </c>
      <c r="C537" s="3" t="s">
        <v>1501</v>
      </c>
      <c r="D537" s="3" t="e">
        <f t="shared" si="16"/>
        <v>#VALUE!</v>
      </c>
      <c r="E537" t="s">
        <v>922</v>
      </c>
      <c r="F537" s="4">
        <f t="shared" si="17"/>
        <v>0.68194444444444446</v>
      </c>
      <c r="G537" t="s">
        <v>1420</v>
      </c>
      <c r="H537" t="s">
        <v>30</v>
      </c>
      <c r="I537" t="s">
        <v>31</v>
      </c>
      <c r="J537" t="s">
        <v>53</v>
      </c>
      <c r="K537" t="s">
        <v>33</v>
      </c>
      <c r="L537" t="s">
        <v>34</v>
      </c>
      <c r="M537">
        <v>3</v>
      </c>
      <c r="N537">
        <v>4</v>
      </c>
      <c r="O537">
        <v>5</v>
      </c>
      <c r="P537">
        <v>5</v>
      </c>
      <c r="Q537">
        <v>4</v>
      </c>
      <c r="R537">
        <v>5</v>
      </c>
      <c r="S537" t="s">
        <v>69</v>
      </c>
      <c r="T537" t="s">
        <v>56</v>
      </c>
      <c r="U537" t="s">
        <v>37</v>
      </c>
      <c r="V537">
        <v>25</v>
      </c>
      <c r="W537" t="s">
        <v>207</v>
      </c>
      <c r="X537" t="s">
        <v>237</v>
      </c>
      <c r="Y537" t="s">
        <v>39</v>
      </c>
    </row>
    <row r="538" spans="1:25" x14ac:dyDescent="0.45">
      <c r="A538" t="s">
        <v>1572</v>
      </c>
      <c r="B538" t="s">
        <v>25</v>
      </c>
      <c r="C538" s="3" t="s">
        <v>1501</v>
      </c>
      <c r="D538" s="3" t="e">
        <f t="shared" si="16"/>
        <v>#VALUE!</v>
      </c>
      <c r="E538" t="s">
        <v>1573</v>
      </c>
      <c r="F538" s="4">
        <f t="shared" si="17"/>
        <v>0.7416666666666667</v>
      </c>
      <c r="G538" t="s">
        <v>1563</v>
      </c>
      <c r="H538" t="s">
        <v>30</v>
      </c>
      <c r="I538" t="s">
        <v>31</v>
      </c>
      <c r="J538" t="s">
        <v>53</v>
      </c>
      <c r="K538" t="s">
        <v>491</v>
      </c>
      <c r="L538" t="s">
        <v>34</v>
      </c>
      <c r="M538">
        <v>6</v>
      </c>
      <c r="N538">
        <v>6</v>
      </c>
      <c r="O538">
        <v>9</v>
      </c>
      <c r="P538">
        <v>9</v>
      </c>
      <c r="Q538">
        <v>10</v>
      </c>
      <c r="R538">
        <v>10</v>
      </c>
      <c r="S538" t="s">
        <v>85</v>
      </c>
      <c r="T538" t="s">
        <v>36</v>
      </c>
      <c r="U538" t="s">
        <v>37</v>
      </c>
      <c r="V538">
        <v>25</v>
      </c>
      <c r="W538" t="s">
        <v>423</v>
      </c>
      <c r="X538" t="s">
        <v>237</v>
      </c>
      <c r="Y538" t="s">
        <v>39</v>
      </c>
    </row>
    <row r="539" spans="1:25" x14ac:dyDescent="0.45">
      <c r="A539" t="s">
        <v>1574</v>
      </c>
      <c r="B539" t="s">
        <v>25</v>
      </c>
      <c r="C539" s="3" t="s">
        <v>1501</v>
      </c>
      <c r="D539" s="3" t="e">
        <f t="shared" si="16"/>
        <v>#VALUE!</v>
      </c>
      <c r="E539" t="s">
        <v>1575</v>
      </c>
      <c r="F539" s="4">
        <f t="shared" si="17"/>
        <v>0.74722222222222223</v>
      </c>
      <c r="G539" t="s">
        <v>229</v>
      </c>
      <c r="H539" t="s">
        <v>30</v>
      </c>
      <c r="I539" t="s">
        <v>31</v>
      </c>
      <c r="J539" t="s">
        <v>53</v>
      </c>
      <c r="K539" t="s">
        <v>33</v>
      </c>
      <c r="L539" t="s">
        <v>46</v>
      </c>
      <c r="M539">
        <v>2</v>
      </c>
      <c r="N539">
        <v>3</v>
      </c>
      <c r="O539">
        <v>4</v>
      </c>
      <c r="P539">
        <v>3</v>
      </c>
      <c r="Q539">
        <v>3</v>
      </c>
      <c r="R539">
        <v>5</v>
      </c>
      <c r="S539" t="s">
        <v>85</v>
      </c>
      <c r="T539" t="s">
        <v>56</v>
      </c>
      <c r="U539" t="s">
        <v>37</v>
      </c>
      <c r="V539">
        <v>26</v>
      </c>
      <c r="W539" t="s">
        <v>1576</v>
      </c>
      <c r="X539" t="s">
        <v>237</v>
      </c>
      <c r="Y539" t="s">
        <v>58</v>
      </c>
    </row>
    <row r="540" spans="1:25" x14ac:dyDescent="0.45">
      <c r="A540" t="s">
        <v>1577</v>
      </c>
      <c r="B540" t="s">
        <v>25</v>
      </c>
      <c r="C540" s="3" t="s">
        <v>1501</v>
      </c>
      <c r="D540" s="3" t="e">
        <f t="shared" si="16"/>
        <v>#VALUE!</v>
      </c>
      <c r="E540" t="s">
        <v>1575</v>
      </c>
      <c r="F540" s="4">
        <f t="shared" si="17"/>
        <v>0.74722222222222223</v>
      </c>
      <c r="G540" t="s">
        <v>568</v>
      </c>
      <c r="H540" t="s">
        <v>30</v>
      </c>
      <c r="I540" t="s">
        <v>31</v>
      </c>
      <c r="J540" t="s">
        <v>82</v>
      </c>
      <c r="K540" t="s">
        <v>108</v>
      </c>
      <c r="L540" t="s">
        <v>34</v>
      </c>
      <c r="M540">
        <v>8</v>
      </c>
      <c r="N540">
        <v>8</v>
      </c>
      <c r="O540">
        <v>7</v>
      </c>
      <c r="P540">
        <v>6</v>
      </c>
      <c r="Q540">
        <v>7</v>
      </c>
      <c r="R540">
        <v>9</v>
      </c>
      <c r="S540" t="s">
        <v>85</v>
      </c>
      <c r="T540" t="s">
        <v>114</v>
      </c>
      <c r="U540" t="s">
        <v>37</v>
      </c>
      <c r="V540">
        <v>35</v>
      </c>
      <c r="W540" t="s">
        <v>38</v>
      </c>
      <c r="X540" t="s">
        <v>237</v>
      </c>
      <c r="Y540" t="s">
        <v>39</v>
      </c>
    </row>
    <row r="541" spans="1:25" x14ac:dyDescent="0.45">
      <c r="A541" t="s">
        <v>1578</v>
      </c>
      <c r="B541" t="s">
        <v>25</v>
      </c>
      <c r="C541" s="3" t="s">
        <v>1501</v>
      </c>
      <c r="D541" s="3" t="e">
        <f t="shared" si="16"/>
        <v>#VALUE!</v>
      </c>
      <c r="E541" t="s">
        <v>1579</v>
      </c>
      <c r="F541" s="4">
        <f t="shared" si="17"/>
        <v>0.77847222222222223</v>
      </c>
      <c r="G541" t="s">
        <v>131</v>
      </c>
      <c r="H541" t="s">
        <v>30</v>
      </c>
      <c r="I541" t="s">
        <v>31</v>
      </c>
      <c r="J541" t="s">
        <v>87</v>
      </c>
      <c r="K541" t="s">
        <v>83</v>
      </c>
      <c r="L541" t="s">
        <v>34</v>
      </c>
      <c r="M541">
        <v>6</v>
      </c>
      <c r="N541">
        <v>7</v>
      </c>
      <c r="O541">
        <v>7</v>
      </c>
      <c r="P541">
        <v>6</v>
      </c>
      <c r="Q541">
        <v>7</v>
      </c>
      <c r="R541">
        <v>6</v>
      </c>
      <c r="S541" t="s">
        <v>69</v>
      </c>
      <c r="T541" t="s">
        <v>36</v>
      </c>
      <c r="U541" t="s">
        <v>37</v>
      </c>
      <c r="V541">
        <v>29</v>
      </c>
      <c r="W541" t="s">
        <v>38</v>
      </c>
      <c r="X541" t="s">
        <v>240</v>
      </c>
      <c r="Y541" t="s">
        <v>58</v>
      </c>
    </row>
    <row r="542" spans="1:25" x14ac:dyDescent="0.45">
      <c r="A542" t="s">
        <v>1580</v>
      </c>
      <c r="B542" t="s">
        <v>25</v>
      </c>
      <c r="C542" s="3" t="s">
        <v>1501</v>
      </c>
      <c r="D542" s="3" t="e">
        <f t="shared" si="16"/>
        <v>#VALUE!</v>
      </c>
      <c r="E542" t="s">
        <v>1581</v>
      </c>
      <c r="F542" s="4">
        <f t="shared" si="17"/>
        <v>0.78194444444444444</v>
      </c>
      <c r="G542" t="s">
        <v>375</v>
      </c>
      <c r="H542" t="s">
        <v>30</v>
      </c>
      <c r="I542" t="s">
        <v>31</v>
      </c>
      <c r="J542" t="s">
        <v>87</v>
      </c>
      <c r="K542" t="s">
        <v>103</v>
      </c>
      <c r="L542" t="s">
        <v>34</v>
      </c>
      <c r="M542">
        <v>7</v>
      </c>
      <c r="N542">
        <v>6</v>
      </c>
      <c r="O542">
        <v>5</v>
      </c>
      <c r="P542">
        <v>4</v>
      </c>
      <c r="Q542">
        <v>3</v>
      </c>
      <c r="R542">
        <v>6</v>
      </c>
      <c r="S542" t="s">
        <v>85</v>
      </c>
      <c r="T542" t="s">
        <v>70</v>
      </c>
      <c r="U542" t="s">
        <v>65</v>
      </c>
      <c r="V542">
        <v>41</v>
      </c>
      <c r="W542" t="s">
        <v>38</v>
      </c>
      <c r="X542" t="s">
        <v>262</v>
      </c>
      <c r="Y542" t="s">
        <v>91</v>
      </c>
    </row>
    <row r="543" spans="1:25" x14ac:dyDescent="0.45">
      <c r="A543" t="s">
        <v>1582</v>
      </c>
      <c r="B543" t="s">
        <v>25</v>
      </c>
      <c r="C543" s="3" t="s">
        <v>1501</v>
      </c>
      <c r="D543" s="3" t="e">
        <f t="shared" si="16"/>
        <v>#VALUE!</v>
      </c>
      <c r="E543" t="s">
        <v>1583</v>
      </c>
      <c r="F543" s="4">
        <f t="shared" si="17"/>
        <v>0.82916666666666672</v>
      </c>
      <c r="G543" t="s">
        <v>76</v>
      </c>
      <c r="H543" t="s">
        <v>123</v>
      </c>
      <c r="I543" t="s">
        <v>43</v>
      </c>
      <c r="J543" t="s">
        <v>53</v>
      </c>
      <c r="K543" t="s">
        <v>108</v>
      </c>
      <c r="L543" t="s">
        <v>34</v>
      </c>
      <c r="M543">
        <v>0</v>
      </c>
      <c r="N543">
        <v>6</v>
      </c>
      <c r="O543">
        <v>4</v>
      </c>
      <c r="P543">
        <v>5</v>
      </c>
      <c r="Q543">
        <v>2</v>
      </c>
      <c r="R543">
        <v>4</v>
      </c>
      <c r="S543" t="s">
        <v>35</v>
      </c>
      <c r="T543" t="s">
        <v>36</v>
      </c>
      <c r="U543" t="s">
        <v>65</v>
      </c>
      <c r="V543">
        <v>22</v>
      </c>
      <c r="W543" t="s">
        <v>38</v>
      </c>
      <c r="X543" t="s">
        <v>237</v>
      </c>
      <c r="Y543" t="s">
        <v>91</v>
      </c>
    </row>
    <row r="544" spans="1:25" x14ac:dyDescent="0.45">
      <c r="A544" t="s">
        <v>1584</v>
      </c>
      <c r="B544" t="s">
        <v>25</v>
      </c>
      <c r="C544" s="3" t="s">
        <v>1501</v>
      </c>
      <c r="D544" s="3" t="e">
        <f t="shared" si="16"/>
        <v>#VALUE!</v>
      </c>
      <c r="E544" t="s">
        <v>1585</v>
      </c>
      <c r="F544" s="4">
        <f t="shared" si="17"/>
        <v>0.88541666666666663</v>
      </c>
      <c r="G544" t="s">
        <v>1195</v>
      </c>
      <c r="H544" t="s">
        <v>30</v>
      </c>
      <c r="I544" t="s">
        <v>31</v>
      </c>
      <c r="J544" t="s">
        <v>94</v>
      </c>
      <c r="K544" t="s">
        <v>33</v>
      </c>
      <c r="L544" t="s">
        <v>674</v>
      </c>
      <c r="M544">
        <v>2</v>
      </c>
      <c r="N544">
        <v>6</v>
      </c>
      <c r="O544">
        <v>6</v>
      </c>
      <c r="P544">
        <v>4</v>
      </c>
      <c r="Q544">
        <v>3</v>
      </c>
      <c r="R544">
        <v>3</v>
      </c>
      <c r="S544" t="s">
        <v>69</v>
      </c>
      <c r="T544" t="s">
        <v>70</v>
      </c>
      <c r="U544" t="s">
        <v>37</v>
      </c>
      <c r="V544">
        <v>35</v>
      </c>
      <c r="W544" t="s">
        <v>38</v>
      </c>
      <c r="X544" t="s">
        <v>237</v>
      </c>
      <c r="Y544" t="s">
        <v>91</v>
      </c>
    </row>
    <row r="545" spans="1:25" x14ac:dyDescent="0.45">
      <c r="A545" t="s">
        <v>1586</v>
      </c>
      <c r="B545" t="s">
        <v>25</v>
      </c>
      <c r="C545" s="3" t="s">
        <v>1501</v>
      </c>
      <c r="D545" s="3" t="e">
        <f t="shared" si="16"/>
        <v>#VALUE!</v>
      </c>
      <c r="E545" t="s">
        <v>1587</v>
      </c>
      <c r="F545" s="4">
        <f t="shared" si="17"/>
        <v>0.89027777777777772</v>
      </c>
      <c r="G545" t="s">
        <v>265</v>
      </c>
      <c r="H545" t="s">
        <v>30</v>
      </c>
      <c r="I545" t="s">
        <v>31</v>
      </c>
      <c r="J545" t="s">
        <v>94</v>
      </c>
      <c r="K545" t="s">
        <v>45</v>
      </c>
      <c r="L545" t="s">
        <v>34</v>
      </c>
      <c r="M545">
        <v>4</v>
      </c>
      <c r="N545">
        <v>3</v>
      </c>
      <c r="O545">
        <v>4</v>
      </c>
      <c r="P545">
        <v>4</v>
      </c>
      <c r="Q545">
        <v>4</v>
      </c>
      <c r="R545">
        <v>6</v>
      </c>
      <c r="S545" t="s">
        <v>35</v>
      </c>
      <c r="T545" t="s">
        <v>70</v>
      </c>
      <c r="U545" t="s">
        <v>37</v>
      </c>
      <c r="V545">
        <v>30</v>
      </c>
      <c r="W545" t="s">
        <v>1588</v>
      </c>
      <c r="X545" t="s">
        <v>237</v>
      </c>
      <c r="Y545" t="s">
        <v>48</v>
      </c>
    </row>
    <row r="546" spans="1:25" x14ac:dyDescent="0.45">
      <c r="A546" t="s">
        <v>1589</v>
      </c>
      <c r="B546" t="s">
        <v>25</v>
      </c>
      <c r="C546" s="3" t="s">
        <v>1501</v>
      </c>
      <c r="D546" s="3" t="e">
        <f t="shared" si="16"/>
        <v>#VALUE!</v>
      </c>
      <c r="E546" t="s">
        <v>1590</v>
      </c>
      <c r="F546" s="4">
        <f t="shared" si="17"/>
        <v>0.92222222222222228</v>
      </c>
      <c r="G546" t="s">
        <v>479</v>
      </c>
      <c r="H546" t="s">
        <v>52</v>
      </c>
      <c r="I546" t="s">
        <v>43</v>
      </c>
      <c r="J546" t="s">
        <v>63</v>
      </c>
      <c r="K546" t="s">
        <v>712</v>
      </c>
      <c r="L546" t="s">
        <v>34</v>
      </c>
      <c r="M546">
        <v>4</v>
      </c>
      <c r="N546">
        <v>6</v>
      </c>
      <c r="O546">
        <v>3</v>
      </c>
      <c r="P546">
        <v>2</v>
      </c>
      <c r="Q546">
        <v>3</v>
      </c>
      <c r="R546">
        <v>3</v>
      </c>
      <c r="S546" t="s">
        <v>85</v>
      </c>
      <c r="T546" t="s">
        <v>114</v>
      </c>
      <c r="U546" t="s">
        <v>37</v>
      </c>
      <c r="V546">
        <v>37</v>
      </c>
      <c r="W546" t="s">
        <v>47</v>
      </c>
      <c r="X546" t="s">
        <v>237</v>
      </c>
      <c r="Y546" t="s">
        <v>48</v>
      </c>
    </row>
    <row r="547" spans="1:25" x14ac:dyDescent="0.45">
      <c r="A547" t="s">
        <v>1591</v>
      </c>
      <c r="B547" t="s">
        <v>25</v>
      </c>
      <c r="C547" s="3" t="s">
        <v>1501</v>
      </c>
      <c r="D547" s="3" t="e">
        <f t="shared" si="16"/>
        <v>#VALUE!</v>
      </c>
      <c r="E547" t="s">
        <v>1592</v>
      </c>
      <c r="F547" s="4">
        <f t="shared" si="17"/>
        <v>0.93125000000000002</v>
      </c>
      <c r="G547" t="s">
        <v>293</v>
      </c>
      <c r="H547" t="s">
        <v>30</v>
      </c>
      <c r="I547" t="s">
        <v>31</v>
      </c>
      <c r="J547" t="s">
        <v>94</v>
      </c>
      <c r="K547" t="s">
        <v>1593</v>
      </c>
      <c r="L547" t="s">
        <v>34</v>
      </c>
      <c r="M547">
        <v>6</v>
      </c>
      <c r="N547">
        <v>7</v>
      </c>
      <c r="O547">
        <v>7</v>
      </c>
      <c r="P547">
        <v>5</v>
      </c>
      <c r="Q547">
        <v>5</v>
      </c>
      <c r="R547">
        <v>9</v>
      </c>
      <c r="S547" t="s">
        <v>69</v>
      </c>
      <c r="T547" t="s">
        <v>70</v>
      </c>
      <c r="U547" t="s">
        <v>65</v>
      </c>
      <c r="V547">
        <v>28</v>
      </c>
      <c r="W547" t="s">
        <v>38</v>
      </c>
      <c r="X547" t="s">
        <v>240</v>
      </c>
      <c r="Y547" t="s">
        <v>58</v>
      </c>
    </row>
    <row r="548" spans="1:25" x14ac:dyDescent="0.45">
      <c r="A548" t="s">
        <v>1594</v>
      </c>
      <c r="B548" t="s">
        <v>25</v>
      </c>
      <c r="C548" s="3" t="s">
        <v>1501</v>
      </c>
      <c r="D548" s="3" t="e">
        <f t="shared" si="16"/>
        <v>#VALUE!</v>
      </c>
      <c r="E548" t="s">
        <v>1595</v>
      </c>
      <c r="F548" s="4">
        <f t="shared" si="17"/>
        <v>0.96180555555555558</v>
      </c>
      <c r="G548" t="s">
        <v>352</v>
      </c>
      <c r="H548" t="s">
        <v>30</v>
      </c>
      <c r="I548" t="s">
        <v>43</v>
      </c>
      <c r="J548" t="s">
        <v>87</v>
      </c>
      <c r="K548" t="s">
        <v>712</v>
      </c>
      <c r="L548" t="s">
        <v>34</v>
      </c>
      <c r="M548">
        <v>7</v>
      </c>
      <c r="N548">
        <v>5</v>
      </c>
      <c r="O548">
        <v>6</v>
      </c>
      <c r="P548">
        <v>6</v>
      </c>
      <c r="Q548">
        <v>4</v>
      </c>
      <c r="R548">
        <v>6</v>
      </c>
      <c r="S548" t="s">
        <v>85</v>
      </c>
      <c r="T548" t="s">
        <v>114</v>
      </c>
      <c r="U548" t="s">
        <v>37</v>
      </c>
      <c r="V548">
        <v>23</v>
      </c>
      <c r="W548" t="s">
        <v>38</v>
      </c>
      <c r="X548" t="s">
        <v>227</v>
      </c>
      <c r="Y548" t="s">
        <v>39</v>
      </c>
    </row>
    <row r="549" spans="1:25" x14ac:dyDescent="0.45">
      <c r="A549" t="s">
        <v>1596</v>
      </c>
      <c r="B549" t="s">
        <v>25</v>
      </c>
      <c r="C549" s="3" t="s">
        <v>1597</v>
      </c>
      <c r="D549" s="3" t="e">
        <f t="shared" si="16"/>
        <v>#VALUE!</v>
      </c>
      <c r="E549" t="s">
        <v>1598</v>
      </c>
      <c r="F549" s="4">
        <f t="shared" si="17"/>
        <v>4.3749999999999997E-2</v>
      </c>
      <c r="G549" t="s">
        <v>731</v>
      </c>
      <c r="H549" t="s">
        <v>123</v>
      </c>
      <c r="I549" t="s">
        <v>43</v>
      </c>
      <c r="J549" t="s">
        <v>53</v>
      </c>
      <c r="K549" t="s">
        <v>45</v>
      </c>
      <c r="L549" t="s">
        <v>34</v>
      </c>
      <c r="M549">
        <v>3</v>
      </c>
      <c r="N549">
        <v>4</v>
      </c>
      <c r="O549">
        <v>8</v>
      </c>
      <c r="P549">
        <v>5</v>
      </c>
      <c r="Q549">
        <v>5</v>
      </c>
      <c r="R549">
        <v>3</v>
      </c>
      <c r="S549" t="s">
        <v>85</v>
      </c>
      <c r="T549" t="s">
        <v>70</v>
      </c>
      <c r="U549" t="s">
        <v>37</v>
      </c>
      <c r="V549">
        <v>26</v>
      </c>
      <c r="W549" t="s">
        <v>38</v>
      </c>
      <c r="X549" t="s">
        <v>227</v>
      </c>
      <c r="Y549" t="s">
        <v>48</v>
      </c>
    </row>
    <row r="550" spans="1:25" x14ac:dyDescent="0.45">
      <c r="A550" t="s">
        <v>1599</v>
      </c>
      <c r="B550" t="s">
        <v>25</v>
      </c>
      <c r="C550" s="3" t="s">
        <v>1597</v>
      </c>
      <c r="D550" s="3" t="e">
        <f t="shared" si="16"/>
        <v>#VALUE!</v>
      </c>
      <c r="E550" t="s">
        <v>1402</v>
      </c>
      <c r="F550" s="4">
        <f t="shared" si="17"/>
        <v>0.18819444444444444</v>
      </c>
      <c r="G550" t="s">
        <v>344</v>
      </c>
      <c r="H550" t="s">
        <v>30</v>
      </c>
      <c r="I550" t="s">
        <v>43</v>
      </c>
      <c r="J550" t="s">
        <v>94</v>
      </c>
      <c r="K550" t="s">
        <v>1600</v>
      </c>
      <c r="L550" t="s">
        <v>34</v>
      </c>
      <c r="M550">
        <v>2</v>
      </c>
      <c r="N550">
        <v>4</v>
      </c>
      <c r="O550">
        <v>4</v>
      </c>
      <c r="P550">
        <v>3</v>
      </c>
      <c r="Q550">
        <v>4</v>
      </c>
      <c r="R550">
        <v>4</v>
      </c>
      <c r="S550" t="s">
        <v>85</v>
      </c>
      <c r="T550" t="s">
        <v>56</v>
      </c>
      <c r="U550" t="s">
        <v>37</v>
      </c>
      <c r="V550">
        <v>25</v>
      </c>
      <c r="W550" t="s">
        <v>199</v>
      </c>
      <c r="X550" t="s">
        <v>237</v>
      </c>
      <c r="Y550" t="s">
        <v>740</v>
      </c>
    </row>
    <row r="551" spans="1:25" x14ac:dyDescent="0.45">
      <c r="A551" t="s">
        <v>1601</v>
      </c>
      <c r="B551" t="s">
        <v>25</v>
      </c>
      <c r="C551" s="3" t="s">
        <v>1597</v>
      </c>
      <c r="D551" s="3" t="e">
        <f t="shared" si="16"/>
        <v>#VALUE!</v>
      </c>
      <c r="E551" t="s">
        <v>1602</v>
      </c>
      <c r="F551" s="4">
        <f t="shared" si="17"/>
        <v>0.21249999999999999</v>
      </c>
      <c r="G551" t="s">
        <v>89</v>
      </c>
      <c r="H551" t="s">
        <v>30</v>
      </c>
      <c r="I551" t="s">
        <v>43</v>
      </c>
      <c r="J551" t="s">
        <v>53</v>
      </c>
      <c r="K551" t="s">
        <v>103</v>
      </c>
      <c r="L551" t="s">
        <v>34</v>
      </c>
      <c r="M551">
        <v>0</v>
      </c>
      <c r="N551">
        <v>1</v>
      </c>
      <c r="O551">
        <v>2</v>
      </c>
      <c r="P551">
        <v>1</v>
      </c>
      <c r="Q551">
        <v>1</v>
      </c>
      <c r="R551">
        <v>1</v>
      </c>
      <c r="S551" t="s">
        <v>85</v>
      </c>
      <c r="T551" t="s">
        <v>36</v>
      </c>
      <c r="U551" t="s">
        <v>37</v>
      </c>
      <c r="V551">
        <v>23</v>
      </c>
      <c r="W551" t="s">
        <v>147</v>
      </c>
      <c r="X551" t="s">
        <v>237</v>
      </c>
      <c r="Y551" t="s">
        <v>48</v>
      </c>
    </row>
    <row r="552" spans="1:25" x14ac:dyDescent="0.45">
      <c r="A552" t="s">
        <v>1603</v>
      </c>
      <c r="B552" t="s">
        <v>25</v>
      </c>
      <c r="C552" s="3" t="s">
        <v>1597</v>
      </c>
      <c r="D552" s="3" t="e">
        <f t="shared" si="16"/>
        <v>#VALUE!</v>
      </c>
      <c r="E552" t="s">
        <v>1604</v>
      </c>
      <c r="F552" s="4">
        <f t="shared" si="17"/>
        <v>0.23749999999999999</v>
      </c>
      <c r="G552" t="s">
        <v>1458</v>
      </c>
      <c r="H552" t="s">
        <v>123</v>
      </c>
      <c r="I552" t="s">
        <v>31</v>
      </c>
      <c r="J552" t="s">
        <v>53</v>
      </c>
      <c r="K552" t="s">
        <v>1605</v>
      </c>
      <c r="L552" t="s">
        <v>1606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 t="s">
        <v>85</v>
      </c>
      <c r="T552" t="s">
        <v>114</v>
      </c>
      <c r="U552" t="s">
        <v>37</v>
      </c>
      <c r="V552">
        <v>53</v>
      </c>
      <c r="W552" t="s">
        <v>57</v>
      </c>
      <c r="X552" t="s">
        <v>237</v>
      </c>
      <c r="Y552" t="s">
        <v>58</v>
      </c>
    </row>
    <row r="553" spans="1:25" x14ac:dyDescent="0.45">
      <c r="A553" t="s">
        <v>1607</v>
      </c>
      <c r="B553" t="s">
        <v>25</v>
      </c>
      <c r="C553" s="3" t="s">
        <v>1597</v>
      </c>
      <c r="D553" s="3" t="e">
        <f t="shared" si="16"/>
        <v>#VALUE!</v>
      </c>
      <c r="E553" t="s">
        <v>1608</v>
      </c>
      <c r="F553" s="4">
        <f t="shared" si="17"/>
        <v>0.24097222222222223</v>
      </c>
      <c r="G553" t="s">
        <v>171</v>
      </c>
      <c r="H553" t="s">
        <v>52</v>
      </c>
      <c r="I553" t="s">
        <v>31</v>
      </c>
      <c r="J553" t="s">
        <v>53</v>
      </c>
      <c r="K553" t="s">
        <v>103</v>
      </c>
      <c r="L553" t="s">
        <v>34</v>
      </c>
      <c r="M553">
        <v>4</v>
      </c>
      <c r="N553">
        <v>6</v>
      </c>
      <c r="O553">
        <v>6</v>
      </c>
      <c r="P553">
        <v>3</v>
      </c>
      <c r="Q553">
        <v>7</v>
      </c>
      <c r="R553">
        <v>9</v>
      </c>
      <c r="S553" t="s">
        <v>85</v>
      </c>
      <c r="T553" t="s">
        <v>70</v>
      </c>
      <c r="U553" t="s">
        <v>65</v>
      </c>
      <c r="V553">
        <v>33</v>
      </c>
      <c r="W553" t="s">
        <v>709</v>
      </c>
      <c r="X553" t="s">
        <v>237</v>
      </c>
      <c r="Y553" t="s">
        <v>39</v>
      </c>
    </row>
    <row r="554" spans="1:25" x14ac:dyDescent="0.45">
      <c r="A554" t="s">
        <v>1609</v>
      </c>
      <c r="B554" t="s">
        <v>25</v>
      </c>
      <c r="C554" s="3" t="s">
        <v>1597</v>
      </c>
      <c r="D554" s="3" t="e">
        <f t="shared" si="16"/>
        <v>#VALUE!</v>
      </c>
      <c r="E554" t="s">
        <v>1610</v>
      </c>
      <c r="F554" s="4">
        <f t="shared" si="17"/>
        <v>0.27361111111111114</v>
      </c>
      <c r="G554" t="s">
        <v>1611</v>
      </c>
      <c r="H554" t="s">
        <v>123</v>
      </c>
      <c r="I554" t="s">
        <v>31</v>
      </c>
      <c r="J554" t="s">
        <v>53</v>
      </c>
      <c r="K554" t="s">
        <v>45</v>
      </c>
      <c r="L554" t="s">
        <v>46</v>
      </c>
      <c r="M554">
        <v>3</v>
      </c>
      <c r="N554">
        <v>5</v>
      </c>
      <c r="O554">
        <v>5</v>
      </c>
      <c r="P554">
        <v>4</v>
      </c>
      <c r="Q554">
        <v>5</v>
      </c>
      <c r="R554">
        <v>6</v>
      </c>
      <c r="S554" t="s">
        <v>69</v>
      </c>
      <c r="T554" t="s">
        <v>70</v>
      </c>
      <c r="U554" t="s">
        <v>37</v>
      </c>
      <c r="V554">
        <v>39</v>
      </c>
      <c r="W554" t="s">
        <v>78</v>
      </c>
      <c r="X554" t="s">
        <v>227</v>
      </c>
      <c r="Y554" t="s">
        <v>58</v>
      </c>
    </row>
    <row r="555" spans="1:25" x14ac:dyDescent="0.45">
      <c r="A555" t="s">
        <v>1612</v>
      </c>
      <c r="B555" t="s">
        <v>25</v>
      </c>
      <c r="C555" s="3" t="s">
        <v>1597</v>
      </c>
      <c r="D555" s="3" t="e">
        <f t="shared" si="16"/>
        <v>#VALUE!</v>
      </c>
      <c r="E555" t="s">
        <v>1613</v>
      </c>
      <c r="F555" s="4">
        <f t="shared" si="17"/>
        <v>0.27986111111111112</v>
      </c>
      <c r="G555" t="s">
        <v>126</v>
      </c>
      <c r="H555" t="s">
        <v>30</v>
      </c>
      <c r="I555" t="s">
        <v>31</v>
      </c>
      <c r="J555" t="s">
        <v>53</v>
      </c>
      <c r="K555" t="s">
        <v>33</v>
      </c>
      <c r="L555" t="s">
        <v>1614</v>
      </c>
      <c r="M555">
        <v>6</v>
      </c>
      <c r="N555">
        <v>7</v>
      </c>
      <c r="O555">
        <v>5</v>
      </c>
      <c r="P555">
        <v>7</v>
      </c>
      <c r="Q555">
        <v>7</v>
      </c>
      <c r="R555">
        <v>9</v>
      </c>
      <c r="S555" t="s">
        <v>69</v>
      </c>
      <c r="T555" t="s">
        <v>70</v>
      </c>
      <c r="U555" t="s">
        <v>65</v>
      </c>
      <c r="V555">
        <v>22</v>
      </c>
      <c r="W555" t="s">
        <v>109</v>
      </c>
      <c r="X555" t="s">
        <v>237</v>
      </c>
      <c r="Y555" t="s">
        <v>39</v>
      </c>
    </row>
    <row r="556" spans="1:25" x14ac:dyDescent="0.45">
      <c r="A556" t="s">
        <v>1615</v>
      </c>
      <c r="B556" t="s">
        <v>25</v>
      </c>
      <c r="C556" s="3" t="s">
        <v>1597</v>
      </c>
      <c r="D556" s="3" t="e">
        <f t="shared" si="16"/>
        <v>#VALUE!</v>
      </c>
      <c r="E556" t="s">
        <v>1616</v>
      </c>
      <c r="F556" s="4">
        <f t="shared" si="17"/>
        <v>0.28680555555555554</v>
      </c>
      <c r="G556" t="s">
        <v>157</v>
      </c>
      <c r="H556" t="s">
        <v>30</v>
      </c>
      <c r="I556" t="s">
        <v>43</v>
      </c>
      <c r="J556" t="s">
        <v>44</v>
      </c>
      <c r="K556" t="s">
        <v>45</v>
      </c>
      <c r="L556" t="s">
        <v>34</v>
      </c>
      <c r="M556">
        <v>4</v>
      </c>
      <c r="N556">
        <v>7</v>
      </c>
      <c r="O556">
        <v>7</v>
      </c>
      <c r="P556">
        <v>7</v>
      </c>
      <c r="Q556">
        <v>5</v>
      </c>
      <c r="R556">
        <v>5</v>
      </c>
      <c r="S556" t="s">
        <v>55</v>
      </c>
      <c r="T556" t="s">
        <v>70</v>
      </c>
      <c r="U556" t="s">
        <v>37</v>
      </c>
      <c r="V556">
        <v>24</v>
      </c>
      <c r="W556" t="s">
        <v>267</v>
      </c>
      <c r="X556" t="s">
        <v>237</v>
      </c>
      <c r="Y556" t="s">
        <v>39</v>
      </c>
    </row>
    <row r="557" spans="1:25" x14ac:dyDescent="0.45">
      <c r="A557" t="s">
        <v>1617</v>
      </c>
      <c r="B557" t="s">
        <v>25</v>
      </c>
      <c r="C557" s="3" t="s">
        <v>1597</v>
      </c>
      <c r="D557" s="3" t="e">
        <f t="shared" si="16"/>
        <v>#VALUE!</v>
      </c>
      <c r="E557" t="s">
        <v>383</v>
      </c>
      <c r="F557" s="4">
        <f t="shared" si="17"/>
        <v>0.39930555555555558</v>
      </c>
      <c r="G557" t="s">
        <v>336</v>
      </c>
      <c r="H557" t="s">
        <v>724</v>
      </c>
      <c r="I557" t="s">
        <v>43</v>
      </c>
      <c r="J557" t="s">
        <v>87</v>
      </c>
      <c r="K557" t="s">
        <v>155</v>
      </c>
      <c r="L557" t="s">
        <v>34</v>
      </c>
      <c r="M557">
        <v>5</v>
      </c>
      <c r="N557">
        <v>1</v>
      </c>
      <c r="O557">
        <v>3</v>
      </c>
      <c r="P557">
        <v>1</v>
      </c>
      <c r="Q557">
        <v>4</v>
      </c>
      <c r="R557">
        <v>5</v>
      </c>
      <c r="S557" t="s">
        <v>69</v>
      </c>
      <c r="T557" t="s">
        <v>56</v>
      </c>
      <c r="U557" t="s">
        <v>37</v>
      </c>
      <c r="V557">
        <v>31</v>
      </c>
      <c r="W557" t="s">
        <v>47</v>
      </c>
      <c r="X557" t="s">
        <v>227</v>
      </c>
      <c r="Y557" t="s">
        <v>39</v>
      </c>
    </row>
    <row r="558" spans="1:25" x14ac:dyDescent="0.45">
      <c r="A558" t="s">
        <v>1618</v>
      </c>
      <c r="B558" t="s">
        <v>25</v>
      </c>
      <c r="C558" s="3" t="s">
        <v>1597</v>
      </c>
      <c r="D558" s="3" t="e">
        <f t="shared" si="16"/>
        <v>#VALUE!</v>
      </c>
      <c r="E558" t="s">
        <v>560</v>
      </c>
      <c r="F558" s="4">
        <f t="shared" si="17"/>
        <v>0.44513888888888886</v>
      </c>
      <c r="G558" t="s">
        <v>507</v>
      </c>
      <c r="H558" t="s">
        <v>30</v>
      </c>
      <c r="I558" t="s">
        <v>31</v>
      </c>
      <c r="J558" t="s">
        <v>53</v>
      </c>
      <c r="K558" t="s">
        <v>1619</v>
      </c>
      <c r="L558" t="s">
        <v>34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35</v>
      </c>
      <c r="T558" t="s">
        <v>70</v>
      </c>
      <c r="U558" t="s">
        <v>37</v>
      </c>
      <c r="V558">
        <v>25</v>
      </c>
      <c r="W558" t="s">
        <v>1620</v>
      </c>
      <c r="X558" t="s">
        <v>237</v>
      </c>
      <c r="Y558" t="s">
        <v>48</v>
      </c>
    </row>
    <row r="559" spans="1:25" x14ac:dyDescent="0.45">
      <c r="A559" t="s">
        <v>1621</v>
      </c>
      <c r="B559" t="s">
        <v>25</v>
      </c>
      <c r="C559" s="3" t="s">
        <v>1597</v>
      </c>
      <c r="D559" s="3" t="e">
        <f t="shared" si="16"/>
        <v>#VALUE!</v>
      </c>
      <c r="E559" t="s">
        <v>1622</v>
      </c>
      <c r="F559" s="4">
        <f t="shared" si="17"/>
        <v>0.51875000000000004</v>
      </c>
      <c r="G559" t="s">
        <v>150</v>
      </c>
      <c r="H559" t="s">
        <v>123</v>
      </c>
      <c r="I559" t="s">
        <v>43</v>
      </c>
      <c r="J559" t="s">
        <v>53</v>
      </c>
      <c r="K559" t="s">
        <v>103</v>
      </c>
      <c r="L559" t="s">
        <v>46</v>
      </c>
      <c r="M559">
        <v>4</v>
      </c>
      <c r="N559">
        <v>7</v>
      </c>
      <c r="O559">
        <v>7</v>
      </c>
      <c r="P559">
        <v>6</v>
      </c>
      <c r="Q559">
        <v>6</v>
      </c>
      <c r="R559">
        <v>6</v>
      </c>
      <c r="S559" t="s">
        <v>85</v>
      </c>
      <c r="T559" t="s">
        <v>70</v>
      </c>
      <c r="U559" t="s">
        <v>37</v>
      </c>
      <c r="V559">
        <v>25</v>
      </c>
      <c r="W559" t="s">
        <v>147</v>
      </c>
      <c r="X559" t="s">
        <v>237</v>
      </c>
      <c r="Y559" t="s">
        <v>48</v>
      </c>
    </row>
    <row r="560" spans="1:25" x14ac:dyDescent="0.45">
      <c r="A560" t="s">
        <v>1623</v>
      </c>
      <c r="B560" t="s">
        <v>25</v>
      </c>
      <c r="C560" s="3" t="s">
        <v>1597</v>
      </c>
      <c r="D560" s="3" t="e">
        <f t="shared" si="16"/>
        <v>#VALUE!</v>
      </c>
      <c r="E560" t="s">
        <v>1624</v>
      </c>
      <c r="F560" s="4">
        <f t="shared" si="17"/>
        <v>0.5444444444444444</v>
      </c>
      <c r="G560" t="s">
        <v>150</v>
      </c>
      <c r="H560" t="s">
        <v>30</v>
      </c>
      <c r="I560" t="s">
        <v>43</v>
      </c>
      <c r="J560" t="s">
        <v>53</v>
      </c>
      <c r="K560" t="s">
        <v>103</v>
      </c>
      <c r="L560" t="s">
        <v>34</v>
      </c>
      <c r="M560">
        <v>3</v>
      </c>
      <c r="N560">
        <v>4</v>
      </c>
      <c r="O560">
        <v>4</v>
      </c>
      <c r="P560">
        <v>4</v>
      </c>
      <c r="Q560">
        <v>2</v>
      </c>
      <c r="R560">
        <v>0</v>
      </c>
      <c r="S560" t="s">
        <v>85</v>
      </c>
      <c r="T560" t="s">
        <v>56</v>
      </c>
      <c r="U560" t="s">
        <v>37</v>
      </c>
      <c r="V560">
        <v>23</v>
      </c>
      <c r="W560" t="s">
        <v>147</v>
      </c>
      <c r="X560" t="s">
        <v>237</v>
      </c>
      <c r="Y560" t="s">
        <v>48</v>
      </c>
    </row>
    <row r="561" spans="1:25" x14ac:dyDescent="0.45">
      <c r="A561" t="s">
        <v>1625</v>
      </c>
      <c r="B561" t="s">
        <v>25</v>
      </c>
      <c r="C561" s="3" t="s">
        <v>1597</v>
      </c>
      <c r="D561" s="3" t="e">
        <f t="shared" si="16"/>
        <v>#VALUE!</v>
      </c>
      <c r="E561" t="s">
        <v>798</v>
      </c>
      <c r="F561" s="4">
        <f t="shared" si="17"/>
        <v>0.58472222222222225</v>
      </c>
      <c r="G561" t="s">
        <v>389</v>
      </c>
      <c r="H561" t="s">
        <v>1626</v>
      </c>
      <c r="I561" t="s">
        <v>31</v>
      </c>
      <c r="J561" t="s">
        <v>44</v>
      </c>
      <c r="K561" t="s">
        <v>1627</v>
      </c>
      <c r="L561" t="s">
        <v>318</v>
      </c>
      <c r="M561">
        <v>6</v>
      </c>
      <c r="N561">
        <v>7</v>
      </c>
      <c r="O561">
        <v>7</v>
      </c>
      <c r="P561">
        <v>7</v>
      </c>
      <c r="Q561">
        <v>7</v>
      </c>
      <c r="R561">
        <v>6</v>
      </c>
      <c r="S561" t="s">
        <v>85</v>
      </c>
      <c r="T561" t="s">
        <v>1628</v>
      </c>
      <c r="U561" t="s">
        <v>37</v>
      </c>
      <c r="V561">
        <v>23</v>
      </c>
      <c r="W561" t="s">
        <v>147</v>
      </c>
      <c r="X561" t="s">
        <v>237</v>
      </c>
      <c r="Y561" t="s">
        <v>48</v>
      </c>
    </row>
    <row r="562" spans="1:25" x14ac:dyDescent="0.45">
      <c r="A562" t="s">
        <v>1629</v>
      </c>
      <c r="B562" t="s">
        <v>25</v>
      </c>
      <c r="C562" s="3" t="s">
        <v>1597</v>
      </c>
      <c r="D562" s="3" t="e">
        <f t="shared" si="16"/>
        <v>#VALUE!</v>
      </c>
      <c r="E562" t="s">
        <v>945</v>
      </c>
      <c r="F562" s="4">
        <f t="shared" si="17"/>
        <v>0.7006944444444444</v>
      </c>
      <c r="G562" t="s">
        <v>135</v>
      </c>
      <c r="H562" t="s">
        <v>30</v>
      </c>
      <c r="I562" t="s">
        <v>43</v>
      </c>
      <c r="J562" t="s">
        <v>87</v>
      </c>
      <c r="K562" t="s">
        <v>33</v>
      </c>
      <c r="L562" t="s">
        <v>34</v>
      </c>
      <c r="M562">
        <v>8</v>
      </c>
      <c r="N562">
        <v>9</v>
      </c>
      <c r="O562">
        <v>8</v>
      </c>
      <c r="P562">
        <v>8</v>
      </c>
      <c r="Q562">
        <v>8</v>
      </c>
      <c r="R562">
        <v>9</v>
      </c>
      <c r="S562" t="s">
        <v>69</v>
      </c>
      <c r="T562" t="s">
        <v>70</v>
      </c>
      <c r="U562" t="s">
        <v>37</v>
      </c>
      <c r="V562">
        <v>40</v>
      </c>
      <c r="W562" t="s">
        <v>38</v>
      </c>
      <c r="X562" t="s">
        <v>227</v>
      </c>
      <c r="Y562" t="s">
        <v>39</v>
      </c>
    </row>
    <row r="563" spans="1:25" x14ac:dyDescent="0.45">
      <c r="A563" t="s">
        <v>1630</v>
      </c>
      <c r="B563" t="s">
        <v>25</v>
      </c>
      <c r="C563" s="3" t="s">
        <v>1597</v>
      </c>
      <c r="D563" s="3" t="e">
        <f t="shared" si="16"/>
        <v>#VALUE!</v>
      </c>
      <c r="E563" t="s">
        <v>1631</v>
      </c>
      <c r="F563" s="4">
        <f t="shared" si="17"/>
        <v>0.72638888888888886</v>
      </c>
      <c r="G563" t="s">
        <v>371</v>
      </c>
      <c r="H563" t="s">
        <v>30</v>
      </c>
      <c r="I563" t="s">
        <v>43</v>
      </c>
      <c r="J563" t="s">
        <v>44</v>
      </c>
      <c r="K563" t="s">
        <v>1632</v>
      </c>
      <c r="L563" t="s">
        <v>257</v>
      </c>
      <c r="M563">
        <v>5</v>
      </c>
      <c r="N563">
        <v>6</v>
      </c>
      <c r="O563">
        <v>6</v>
      </c>
      <c r="P563">
        <v>2</v>
      </c>
      <c r="Q563">
        <v>0</v>
      </c>
      <c r="R563">
        <v>4</v>
      </c>
      <c r="S563" t="s">
        <v>85</v>
      </c>
      <c r="T563" t="s">
        <v>70</v>
      </c>
      <c r="U563" t="s">
        <v>37</v>
      </c>
      <c r="V563">
        <v>29</v>
      </c>
      <c r="W563" t="s">
        <v>38</v>
      </c>
      <c r="X563" t="s">
        <v>237</v>
      </c>
      <c r="Y563" t="s">
        <v>91</v>
      </c>
    </row>
    <row r="564" spans="1:25" x14ac:dyDescent="0.45">
      <c r="A564" t="s">
        <v>1633</v>
      </c>
      <c r="B564" t="s">
        <v>25</v>
      </c>
      <c r="C564" s="3" t="s">
        <v>1597</v>
      </c>
      <c r="D564" s="3" t="e">
        <f t="shared" si="16"/>
        <v>#VALUE!</v>
      </c>
      <c r="E564" t="s">
        <v>1634</v>
      </c>
      <c r="F564" s="4">
        <f t="shared" si="17"/>
        <v>0.73124999999999996</v>
      </c>
      <c r="G564" t="s">
        <v>1491</v>
      </c>
      <c r="H564" t="s">
        <v>30</v>
      </c>
      <c r="I564" t="s">
        <v>31</v>
      </c>
      <c r="J564" t="s">
        <v>53</v>
      </c>
      <c r="K564" t="s">
        <v>103</v>
      </c>
      <c r="L564" t="s">
        <v>34</v>
      </c>
      <c r="M564">
        <v>1</v>
      </c>
      <c r="N564">
        <v>7</v>
      </c>
      <c r="O564">
        <v>5</v>
      </c>
      <c r="P564">
        <v>5</v>
      </c>
      <c r="Q564">
        <v>4</v>
      </c>
      <c r="R564">
        <v>4</v>
      </c>
      <c r="S564" t="s">
        <v>69</v>
      </c>
      <c r="T564" t="s">
        <v>70</v>
      </c>
      <c r="U564" t="s">
        <v>37</v>
      </c>
      <c r="V564">
        <v>28</v>
      </c>
      <c r="W564" t="s">
        <v>147</v>
      </c>
      <c r="X564" t="s">
        <v>237</v>
      </c>
      <c r="Y564" t="s">
        <v>1635</v>
      </c>
    </row>
    <row r="565" spans="1:25" x14ac:dyDescent="0.45">
      <c r="A565" t="s">
        <v>1636</v>
      </c>
      <c r="B565" t="s">
        <v>25</v>
      </c>
      <c r="C565" s="3" t="s">
        <v>1597</v>
      </c>
      <c r="D565" s="3" t="e">
        <f t="shared" si="16"/>
        <v>#VALUE!</v>
      </c>
      <c r="E565" t="s">
        <v>1637</v>
      </c>
      <c r="F565" s="4">
        <f t="shared" si="17"/>
        <v>0.74236111111111114</v>
      </c>
      <c r="G565" t="s">
        <v>250</v>
      </c>
      <c r="H565" t="s">
        <v>30</v>
      </c>
      <c r="I565" t="s">
        <v>31</v>
      </c>
      <c r="J565" t="s">
        <v>53</v>
      </c>
      <c r="K565" t="s">
        <v>33</v>
      </c>
      <c r="L565" t="s">
        <v>46</v>
      </c>
      <c r="M565">
        <v>3</v>
      </c>
      <c r="N565">
        <v>6</v>
      </c>
      <c r="O565">
        <v>6</v>
      </c>
      <c r="P565">
        <v>4</v>
      </c>
      <c r="Q565">
        <v>6</v>
      </c>
      <c r="R565">
        <v>3</v>
      </c>
      <c r="S565" t="s">
        <v>64</v>
      </c>
      <c r="T565" t="s">
        <v>70</v>
      </c>
      <c r="U565" t="s">
        <v>65</v>
      </c>
      <c r="V565">
        <v>28</v>
      </c>
      <c r="W565" t="s">
        <v>109</v>
      </c>
      <c r="X565" t="s">
        <v>240</v>
      </c>
      <c r="Y565" t="s">
        <v>58</v>
      </c>
    </row>
    <row r="566" spans="1:25" x14ac:dyDescent="0.45">
      <c r="A566" t="s">
        <v>1638</v>
      </c>
      <c r="B566" t="s">
        <v>25</v>
      </c>
      <c r="C566" s="3" t="s">
        <v>1597</v>
      </c>
      <c r="D566" s="3" t="e">
        <f t="shared" si="16"/>
        <v>#VALUE!</v>
      </c>
      <c r="E566" t="s">
        <v>1639</v>
      </c>
      <c r="F566" s="4">
        <f t="shared" si="17"/>
        <v>0.97916666666666663</v>
      </c>
      <c r="G566" t="s">
        <v>963</v>
      </c>
      <c r="H566" t="s">
        <v>123</v>
      </c>
      <c r="I566" t="s">
        <v>31</v>
      </c>
      <c r="J566" t="s">
        <v>53</v>
      </c>
      <c r="K566" t="s">
        <v>90</v>
      </c>
      <c r="L566" t="s">
        <v>34</v>
      </c>
      <c r="M566">
        <v>0</v>
      </c>
      <c r="N566">
        <v>3</v>
      </c>
      <c r="O566">
        <v>3</v>
      </c>
      <c r="P566">
        <v>4</v>
      </c>
      <c r="Q566">
        <v>5</v>
      </c>
      <c r="R566">
        <v>5</v>
      </c>
      <c r="S566" t="s">
        <v>69</v>
      </c>
      <c r="T566" t="s">
        <v>56</v>
      </c>
      <c r="U566" t="s">
        <v>65</v>
      </c>
      <c r="V566">
        <v>26</v>
      </c>
      <c r="W566" t="s">
        <v>147</v>
      </c>
      <c r="X566" t="s">
        <v>240</v>
      </c>
      <c r="Y566" t="s">
        <v>48</v>
      </c>
    </row>
    <row r="567" spans="1:25" x14ac:dyDescent="0.45">
      <c r="A567" t="s">
        <v>1640</v>
      </c>
      <c r="B567" t="s">
        <v>25</v>
      </c>
      <c r="C567" s="3" t="s">
        <v>1641</v>
      </c>
      <c r="D567" s="3" t="e">
        <f t="shared" si="16"/>
        <v>#VALUE!</v>
      </c>
      <c r="E567" t="s">
        <v>1642</v>
      </c>
      <c r="F567" s="4">
        <f t="shared" si="17"/>
        <v>2.0833333333333332E-2</v>
      </c>
      <c r="G567" t="s">
        <v>288</v>
      </c>
      <c r="H567" t="s">
        <v>52</v>
      </c>
      <c r="I567" t="s">
        <v>43</v>
      </c>
      <c r="J567" t="s">
        <v>44</v>
      </c>
      <c r="K567" t="s">
        <v>113</v>
      </c>
      <c r="L567" t="s">
        <v>34</v>
      </c>
      <c r="M567">
        <v>6</v>
      </c>
      <c r="N567">
        <v>8</v>
      </c>
      <c r="O567">
        <v>8</v>
      </c>
      <c r="P567">
        <v>5</v>
      </c>
      <c r="Q567">
        <v>5</v>
      </c>
      <c r="R567">
        <v>5</v>
      </c>
      <c r="S567" t="s">
        <v>85</v>
      </c>
      <c r="T567" t="s">
        <v>70</v>
      </c>
      <c r="U567" t="s">
        <v>37</v>
      </c>
      <c r="V567">
        <v>30</v>
      </c>
      <c r="W567" t="s">
        <v>319</v>
      </c>
      <c r="X567" t="s">
        <v>240</v>
      </c>
      <c r="Y567" t="s">
        <v>39</v>
      </c>
    </row>
    <row r="568" spans="1:25" x14ac:dyDescent="0.45">
      <c r="A568" t="s">
        <v>1643</v>
      </c>
      <c r="B568" t="s">
        <v>25</v>
      </c>
      <c r="C568" s="3" t="s">
        <v>1641</v>
      </c>
      <c r="D568" s="3" t="e">
        <f t="shared" si="16"/>
        <v>#VALUE!</v>
      </c>
      <c r="E568" t="s">
        <v>1644</v>
      </c>
      <c r="F568" s="4">
        <f t="shared" si="17"/>
        <v>2.2916666666666665E-2</v>
      </c>
      <c r="G568" t="s">
        <v>467</v>
      </c>
      <c r="H568" t="s">
        <v>30</v>
      </c>
      <c r="I568" t="s">
        <v>31</v>
      </c>
      <c r="J568" t="s">
        <v>94</v>
      </c>
      <c r="K568" t="s">
        <v>108</v>
      </c>
      <c r="L568" t="s">
        <v>84</v>
      </c>
      <c r="M568">
        <v>5</v>
      </c>
      <c r="N568">
        <v>9</v>
      </c>
      <c r="O568">
        <v>7</v>
      </c>
      <c r="P568">
        <v>9</v>
      </c>
      <c r="Q568">
        <v>8</v>
      </c>
      <c r="R568">
        <v>9</v>
      </c>
      <c r="S568" t="s">
        <v>85</v>
      </c>
      <c r="T568" t="s">
        <v>70</v>
      </c>
      <c r="U568" t="s">
        <v>37</v>
      </c>
      <c r="V568">
        <v>27</v>
      </c>
      <c r="W568" t="s">
        <v>199</v>
      </c>
      <c r="X568" t="s">
        <v>237</v>
      </c>
      <c r="Y568" t="s">
        <v>48</v>
      </c>
    </row>
    <row r="569" spans="1:25" x14ac:dyDescent="0.45">
      <c r="A569" t="s">
        <v>1645</v>
      </c>
      <c r="B569" t="s">
        <v>25</v>
      </c>
      <c r="C569" s="3" t="s">
        <v>1641</v>
      </c>
      <c r="D569" s="3" t="e">
        <f t="shared" si="16"/>
        <v>#VALUE!</v>
      </c>
      <c r="E569" t="s">
        <v>1646</v>
      </c>
      <c r="F569" s="4">
        <f t="shared" si="17"/>
        <v>2.6388888888888889E-2</v>
      </c>
      <c r="G569" t="s">
        <v>112</v>
      </c>
      <c r="H569" t="s">
        <v>30</v>
      </c>
      <c r="I569" t="s">
        <v>31</v>
      </c>
      <c r="J569" t="s">
        <v>53</v>
      </c>
      <c r="K569" t="s">
        <v>1647</v>
      </c>
      <c r="L569" t="s">
        <v>674</v>
      </c>
      <c r="M569">
        <v>2</v>
      </c>
      <c r="N569">
        <v>0</v>
      </c>
      <c r="O569">
        <v>5</v>
      </c>
      <c r="P569">
        <v>3</v>
      </c>
      <c r="Q569">
        <v>0</v>
      </c>
      <c r="R569">
        <v>3</v>
      </c>
      <c r="S569" t="s">
        <v>35</v>
      </c>
      <c r="T569" t="s">
        <v>36</v>
      </c>
      <c r="U569" t="s">
        <v>37</v>
      </c>
      <c r="V569">
        <v>28</v>
      </c>
      <c r="W569" t="s">
        <v>57</v>
      </c>
      <c r="X569" t="s">
        <v>237</v>
      </c>
      <c r="Y569" t="s">
        <v>58</v>
      </c>
    </row>
    <row r="570" spans="1:25" x14ac:dyDescent="0.45">
      <c r="A570" t="s">
        <v>1648</v>
      </c>
      <c r="B570" t="s">
        <v>25</v>
      </c>
      <c r="C570" s="3" t="s">
        <v>1641</v>
      </c>
      <c r="D570" s="3" t="e">
        <f t="shared" si="16"/>
        <v>#VALUE!</v>
      </c>
      <c r="E570" t="s">
        <v>1649</v>
      </c>
      <c r="F570" s="4">
        <f t="shared" si="17"/>
        <v>0.17152777777777778</v>
      </c>
      <c r="G570" t="s">
        <v>173</v>
      </c>
      <c r="H570" t="s">
        <v>30</v>
      </c>
      <c r="I570" t="s">
        <v>43</v>
      </c>
      <c r="J570" t="s">
        <v>94</v>
      </c>
      <c r="K570" t="s">
        <v>108</v>
      </c>
      <c r="L570" t="s">
        <v>34</v>
      </c>
      <c r="M570">
        <v>3</v>
      </c>
      <c r="N570">
        <v>3</v>
      </c>
      <c r="O570">
        <v>5</v>
      </c>
      <c r="P570">
        <v>3</v>
      </c>
      <c r="Q570">
        <v>3</v>
      </c>
      <c r="R570">
        <v>4</v>
      </c>
      <c r="S570" t="s">
        <v>85</v>
      </c>
      <c r="T570" t="s">
        <v>56</v>
      </c>
      <c r="U570" t="s">
        <v>65</v>
      </c>
      <c r="V570">
        <v>38</v>
      </c>
      <c r="W570" t="s">
        <v>57</v>
      </c>
      <c r="X570" t="s">
        <v>240</v>
      </c>
      <c r="Y570" t="s">
        <v>58</v>
      </c>
    </row>
    <row r="571" spans="1:25" x14ac:dyDescent="0.45">
      <c r="A571" t="s">
        <v>1650</v>
      </c>
      <c r="B571" t="s">
        <v>25</v>
      </c>
      <c r="C571" s="3" t="s">
        <v>1641</v>
      </c>
      <c r="D571" s="3" t="e">
        <f t="shared" si="16"/>
        <v>#VALUE!</v>
      </c>
      <c r="E571" t="s">
        <v>1651</v>
      </c>
      <c r="F571" s="4">
        <f t="shared" si="17"/>
        <v>0.29097222222222224</v>
      </c>
      <c r="G571" t="s">
        <v>389</v>
      </c>
      <c r="H571" t="s">
        <v>30</v>
      </c>
      <c r="I571" t="s">
        <v>43</v>
      </c>
      <c r="J571" t="s">
        <v>53</v>
      </c>
      <c r="K571" t="s">
        <v>45</v>
      </c>
      <c r="L571" t="s">
        <v>34</v>
      </c>
      <c r="M571">
        <v>2</v>
      </c>
      <c r="N571">
        <v>6</v>
      </c>
      <c r="O571">
        <v>5</v>
      </c>
      <c r="P571">
        <v>5</v>
      </c>
      <c r="Q571">
        <v>6</v>
      </c>
      <c r="R571">
        <v>6</v>
      </c>
      <c r="S571" t="s">
        <v>55</v>
      </c>
      <c r="T571" t="s">
        <v>114</v>
      </c>
      <c r="U571" t="s">
        <v>37</v>
      </c>
      <c r="V571">
        <v>22</v>
      </c>
      <c r="W571" t="s">
        <v>347</v>
      </c>
      <c r="X571" t="s">
        <v>237</v>
      </c>
      <c r="Y571" t="s">
        <v>39</v>
      </c>
    </row>
    <row r="572" spans="1:25" x14ac:dyDescent="0.45">
      <c r="A572" t="s">
        <v>1652</v>
      </c>
      <c r="B572" t="s">
        <v>25</v>
      </c>
      <c r="C572" s="3" t="s">
        <v>1641</v>
      </c>
      <c r="D572" s="3" t="e">
        <f t="shared" si="16"/>
        <v>#VALUE!</v>
      </c>
      <c r="E572" t="s">
        <v>1653</v>
      </c>
      <c r="F572" s="4">
        <f t="shared" si="17"/>
        <v>0.32916666666666666</v>
      </c>
      <c r="G572" t="s">
        <v>317</v>
      </c>
      <c r="H572" t="s">
        <v>30</v>
      </c>
      <c r="I572" t="s">
        <v>31</v>
      </c>
      <c r="J572" t="s">
        <v>87</v>
      </c>
      <c r="K572" t="s">
        <v>155</v>
      </c>
      <c r="L572" t="s">
        <v>34</v>
      </c>
      <c r="M572">
        <v>7</v>
      </c>
      <c r="N572">
        <v>8</v>
      </c>
      <c r="O572">
        <v>9</v>
      </c>
      <c r="P572">
        <v>9</v>
      </c>
      <c r="Q572">
        <v>9</v>
      </c>
      <c r="R572">
        <v>9</v>
      </c>
      <c r="S572" t="s">
        <v>69</v>
      </c>
      <c r="T572" t="s">
        <v>70</v>
      </c>
      <c r="U572" t="s">
        <v>37</v>
      </c>
      <c r="V572">
        <v>34</v>
      </c>
      <c r="W572" t="s">
        <v>38</v>
      </c>
      <c r="X572" t="s">
        <v>237</v>
      </c>
      <c r="Y572" t="s">
        <v>91</v>
      </c>
    </row>
    <row r="573" spans="1:25" x14ac:dyDescent="0.45">
      <c r="A573" t="s">
        <v>1654</v>
      </c>
      <c r="B573" t="s">
        <v>25</v>
      </c>
      <c r="C573" s="3" t="s">
        <v>1641</v>
      </c>
      <c r="D573" s="3" t="e">
        <f t="shared" si="16"/>
        <v>#VALUE!</v>
      </c>
      <c r="E573" t="s">
        <v>1655</v>
      </c>
      <c r="F573" s="4">
        <f t="shared" si="17"/>
        <v>0.40486111111111112</v>
      </c>
      <c r="G573" t="s">
        <v>150</v>
      </c>
      <c r="H573" t="s">
        <v>30</v>
      </c>
      <c r="I573" t="s">
        <v>43</v>
      </c>
      <c r="J573" t="s">
        <v>53</v>
      </c>
      <c r="K573" t="s">
        <v>103</v>
      </c>
      <c r="L573" t="s">
        <v>34</v>
      </c>
      <c r="M573">
        <v>3</v>
      </c>
      <c r="N573">
        <v>8</v>
      </c>
      <c r="O573">
        <v>8</v>
      </c>
      <c r="P573">
        <v>5</v>
      </c>
      <c r="Q573">
        <v>7</v>
      </c>
      <c r="R573">
        <v>9</v>
      </c>
      <c r="S573" t="s">
        <v>55</v>
      </c>
      <c r="T573" t="s">
        <v>70</v>
      </c>
      <c r="U573" t="s">
        <v>37</v>
      </c>
      <c r="V573">
        <v>26</v>
      </c>
      <c r="W573" t="s">
        <v>1488</v>
      </c>
      <c r="X573" t="s">
        <v>237</v>
      </c>
      <c r="Y573" t="s">
        <v>48</v>
      </c>
    </row>
    <row r="574" spans="1:25" x14ac:dyDescent="0.45">
      <c r="A574" t="s">
        <v>1656</v>
      </c>
      <c r="B574" t="s">
        <v>25</v>
      </c>
      <c r="C574" s="3" t="s">
        <v>1641</v>
      </c>
      <c r="D574" s="3" t="e">
        <f t="shared" si="16"/>
        <v>#VALUE!</v>
      </c>
      <c r="E574" t="s">
        <v>563</v>
      </c>
      <c r="F574" s="4">
        <f t="shared" si="17"/>
        <v>0.4465277777777778</v>
      </c>
      <c r="G574" t="s">
        <v>119</v>
      </c>
      <c r="H574" t="s">
        <v>30</v>
      </c>
      <c r="I574" t="s">
        <v>31</v>
      </c>
      <c r="J574" t="s">
        <v>94</v>
      </c>
      <c r="K574" t="s">
        <v>103</v>
      </c>
      <c r="L574" t="s">
        <v>34</v>
      </c>
      <c r="M574">
        <v>5</v>
      </c>
      <c r="N574">
        <v>9</v>
      </c>
      <c r="O574">
        <v>7</v>
      </c>
      <c r="P574">
        <v>7</v>
      </c>
      <c r="Q574">
        <v>8</v>
      </c>
      <c r="R574">
        <v>9</v>
      </c>
      <c r="S574" t="s">
        <v>85</v>
      </c>
      <c r="T574" t="s">
        <v>70</v>
      </c>
      <c r="U574" t="s">
        <v>65</v>
      </c>
      <c r="V574">
        <v>26</v>
      </c>
      <c r="W574" t="s">
        <v>47</v>
      </c>
      <c r="X574" t="s">
        <v>237</v>
      </c>
      <c r="Y574" t="s">
        <v>48</v>
      </c>
    </row>
    <row r="575" spans="1:25" x14ac:dyDescent="0.45">
      <c r="A575" t="s">
        <v>1657</v>
      </c>
      <c r="B575" t="s">
        <v>25</v>
      </c>
      <c r="C575" s="3" t="s">
        <v>1641</v>
      </c>
      <c r="D575" s="3" t="e">
        <f t="shared" si="16"/>
        <v>#VALUE!</v>
      </c>
      <c r="E575" t="s">
        <v>614</v>
      </c>
      <c r="F575" s="4">
        <f t="shared" si="17"/>
        <v>0.47222222222222221</v>
      </c>
      <c r="G575" t="s">
        <v>131</v>
      </c>
      <c r="H575" t="s">
        <v>52</v>
      </c>
      <c r="I575" t="s">
        <v>43</v>
      </c>
      <c r="J575" t="s">
        <v>94</v>
      </c>
      <c r="K575" t="s">
        <v>108</v>
      </c>
      <c r="L575" t="s">
        <v>34</v>
      </c>
      <c r="M575">
        <v>10</v>
      </c>
      <c r="N575">
        <v>10</v>
      </c>
      <c r="O575">
        <v>10</v>
      </c>
      <c r="P575">
        <v>9</v>
      </c>
      <c r="Q575">
        <v>9</v>
      </c>
      <c r="R575">
        <v>10</v>
      </c>
      <c r="S575" t="s">
        <v>69</v>
      </c>
      <c r="T575" t="s">
        <v>36</v>
      </c>
      <c r="U575" t="s">
        <v>37</v>
      </c>
      <c r="V575">
        <v>25</v>
      </c>
      <c r="W575" t="s">
        <v>183</v>
      </c>
      <c r="X575" t="s">
        <v>237</v>
      </c>
      <c r="Y575" t="s">
        <v>1658</v>
      </c>
    </row>
    <row r="576" spans="1:25" x14ac:dyDescent="0.45">
      <c r="A576" t="s">
        <v>1659</v>
      </c>
      <c r="B576" t="s">
        <v>25</v>
      </c>
      <c r="C576" s="3" t="s">
        <v>1641</v>
      </c>
      <c r="D576" s="3" t="e">
        <f t="shared" si="16"/>
        <v>#VALUE!</v>
      </c>
      <c r="E576" t="s">
        <v>738</v>
      </c>
      <c r="F576" s="4">
        <f t="shared" si="17"/>
        <v>0.54722222222222228</v>
      </c>
      <c r="G576" t="s">
        <v>1130</v>
      </c>
      <c r="H576" t="s">
        <v>77</v>
      </c>
      <c r="I576" t="s">
        <v>31</v>
      </c>
      <c r="J576" t="s">
        <v>82</v>
      </c>
      <c r="K576" t="s">
        <v>103</v>
      </c>
      <c r="L576" t="s">
        <v>34</v>
      </c>
      <c r="M576">
        <v>5</v>
      </c>
      <c r="N576">
        <v>3</v>
      </c>
      <c r="O576">
        <v>7</v>
      </c>
      <c r="P576">
        <v>4</v>
      </c>
      <c r="Q576">
        <v>5</v>
      </c>
      <c r="R576">
        <v>3</v>
      </c>
      <c r="S576" t="s">
        <v>55</v>
      </c>
      <c r="T576" t="s">
        <v>1660</v>
      </c>
      <c r="U576" t="s">
        <v>37</v>
      </c>
      <c r="V576">
        <v>34</v>
      </c>
      <c r="W576" t="s">
        <v>38</v>
      </c>
      <c r="X576" t="s">
        <v>237</v>
      </c>
      <c r="Y576" t="s">
        <v>58</v>
      </c>
    </row>
    <row r="577" spans="1:25" x14ac:dyDescent="0.45">
      <c r="A577" t="s">
        <v>1661</v>
      </c>
      <c r="B577" t="s">
        <v>25</v>
      </c>
      <c r="C577" s="3" t="s">
        <v>1641</v>
      </c>
      <c r="D577" s="3" t="e">
        <f t="shared" si="16"/>
        <v>#VALUE!</v>
      </c>
      <c r="E577" t="s">
        <v>1281</v>
      </c>
      <c r="F577" s="4">
        <f t="shared" si="17"/>
        <v>0.5625</v>
      </c>
      <c r="G577" t="s">
        <v>1662</v>
      </c>
      <c r="H577" t="s">
        <v>1663</v>
      </c>
      <c r="I577" t="s">
        <v>31</v>
      </c>
      <c r="J577" t="s">
        <v>44</v>
      </c>
      <c r="K577" t="s">
        <v>45</v>
      </c>
      <c r="L577" t="s">
        <v>533</v>
      </c>
      <c r="M577">
        <v>7</v>
      </c>
      <c r="N577">
        <v>10</v>
      </c>
      <c r="O577">
        <v>10</v>
      </c>
      <c r="P577">
        <v>10</v>
      </c>
      <c r="Q577">
        <v>4</v>
      </c>
      <c r="R577">
        <v>5</v>
      </c>
      <c r="S577" t="s">
        <v>85</v>
      </c>
      <c r="T577" t="s">
        <v>56</v>
      </c>
      <c r="U577" t="s">
        <v>65</v>
      </c>
      <c r="V577">
        <v>32</v>
      </c>
      <c r="W577" t="s">
        <v>500</v>
      </c>
      <c r="X577" t="s">
        <v>237</v>
      </c>
      <c r="Y577" t="s">
        <v>91</v>
      </c>
    </row>
    <row r="578" spans="1:25" x14ac:dyDescent="0.45">
      <c r="A578" t="s">
        <v>1664</v>
      </c>
      <c r="B578" t="s">
        <v>25</v>
      </c>
      <c r="C578" s="3" t="s">
        <v>1641</v>
      </c>
      <c r="D578" s="3" t="e">
        <f t="shared" si="16"/>
        <v>#VALUE!</v>
      </c>
      <c r="E578" t="s">
        <v>824</v>
      </c>
      <c r="F578" s="4">
        <f t="shared" si="17"/>
        <v>0.59444444444444444</v>
      </c>
      <c r="G578" t="s">
        <v>76</v>
      </c>
      <c r="H578" t="s">
        <v>123</v>
      </c>
      <c r="I578" t="s">
        <v>43</v>
      </c>
      <c r="J578" t="s">
        <v>53</v>
      </c>
      <c r="K578" t="s">
        <v>113</v>
      </c>
      <c r="L578" t="s">
        <v>46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 t="s">
        <v>69</v>
      </c>
      <c r="T578" t="s">
        <v>70</v>
      </c>
      <c r="U578" t="s">
        <v>37</v>
      </c>
      <c r="V578">
        <v>24</v>
      </c>
      <c r="W578" t="s">
        <v>38</v>
      </c>
      <c r="X578" t="s">
        <v>262</v>
      </c>
      <c r="Y578" t="s">
        <v>58</v>
      </c>
    </row>
    <row r="579" spans="1:25" x14ac:dyDescent="0.45">
      <c r="A579" t="s">
        <v>1665</v>
      </c>
      <c r="B579" t="s">
        <v>25</v>
      </c>
      <c r="C579" s="3" t="s">
        <v>1641</v>
      </c>
      <c r="D579" s="3" t="e">
        <f t="shared" ref="D579:D631" si="18">DATEVALUE(C579)</f>
        <v>#VALUE!</v>
      </c>
      <c r="E579" t="s">
        <v>853</v>
      </c>
      <c r="F579" s="4">
        <f t="shared" ref="F579:F631" si="19">TIMEVALUE(E579)</f>
        <v>0.6166666666666667</v>
      </c>
      <c r="G579" t="s">
        <v>1666</v>
      </c>
      <c r="H579" t="s">
        <v>52</v>
      </c>
      <c r="I579" t="s">
        <v>31</v>
      </c>
      <c r="J579" t="s">
        <v>53</v>
      </c>
      <c r="K579" t="s">
        <v>103</v>
      </c>
      <c r="L579" t="s">
        <v>34</v>
      </c>
      <c r="M579">
        <v>7</v>
      </c>
      <c r="N579">
        <v>3</v>
      </c>
      <c r="O579">
        <v>3</v>
      </c>
      <c r="P579">
        <v>2</v>
      </c>
      <c r="Q579">
        <v>5</v>
      </c>
      <c r="R579">
        <v>9</v>
      </c>
      <c r="S579" t="s">
        <v>69</v>
      </c>
      <c r="T579" t="s">
        <v>70</v>
      </c>
      <c r="U579" t="s">
        <v>37</v>
      </c>
      <c r="V579">
        <v>26</v>
      </c>
      <c r="W579" t="s">
        <v>1667</v>
      </c>
      <c r="X579" t="s">
        <v>237</v>
      </c>
      <c r="Y579" t="s">
        <v>91</v>
      </c>
    </row>
    <row r="580" spans="1:25" x14ac:dyDescent="0.45">
      <c r="A580" t="s">
        <v>1668</v>
      </c>
      <c r="B580" t="s">
        <v>25</v>
      </c>
      <c r="C580" s="3" t="s">
        <v>1641</v>
      </c>
      <c r="D580" s="3" t="e">
        <f t="shared" si="18"/>
        <v>#VALUE!</v>
      </c>
      <c r="E580" t="s">
        <v>1669</v>
      </c>
      <c r="F580" s="4">
        <f t="shared" si="19"/>
        <v>0.63402777777777775</v>
      </c>
      <c r="G580" t="s">
        <v>425</v>
      </c>
      <c r="H580" t="s">
        <v>30</v>
      </c>
      <c r="I580" t="s">
        <v>31</v>
      </c>
      <c r="J580" t="s">
        <v>44</v>
      </c>
      <c r="K580" t="s">
        <v>90</v>
      </c>
      <c r="L580" t="s">
        <v>318</v>
      </c>
      <c r="M580">
        <v>4</v>
      </c>
      <c r="N580">
        <v>7</v>
      </c>
      <c r="O580">
        <v>5</v>
      </c>
      <c r="P580">
        <v>6</v>
      </c>
      <c r="Q580">
        <v>4</v>
      </c>
      <c r="R580">
        <v>6</v>
      </c>
      <c r="S580" t="s">
        <v>69</v>
      </c>
      <c r="T580" t="s">
        <v>70</v>
      </c>
      <c r="U580" t="s">
        <v>65</v>
      </c>
      <c r="V580">
        <v>32</v>
      </c>
      <c r="W580" t="s">
        <v>1670</v>
      </c>
      <c r="X580" t="s">
        <v>240</v>
      </c>
      <c r="Y580" t="s">
        <v>58</v>
      </c>
    </row>
    <row r="581" spans="1:25" x14ac:dyDescent="0.45">
      <c r="A581" t="s">
        <v>1671</v>
      </c>
      <c r="B581" t="s">
        <v>25</v>
      </c>
      <c r="C581" s="3" t="s">
        <v>1641</v>
      </c>
      <c r="D581" s="3" t="e">
        <f t="shared" si="18"/>
        <v>#VALUE!</v>
      </c>
      <c r="E581" t="s">
        <v>1672</v>
      </c>
      <c r="F581" s="4">
        <f t="shared" si="19"/>
        <v>0.64861111111111114</v>
      </c>
      <c r="G581" t="s">
        <v>470</v>
      </c>
      <c r="H581" t="s">
        <v>77</v>
      </c>
      <c r="I581" t="s">
        <v>43</v>
      </c>
      <c r="J581" t="s">
        <v>44</v>
      </c>
      <c r="K581" t="s">
        <v>103</v>
      </c>
      <c r="L581" t="s">
        <v>46</v>
      </c>
      <c r="M581">
        <v>5</v>
      </c>
      <c r="N581">
        <v>1</v>
      </c>
      <c r="O581">
        <v>7</v>
      </c>
      <c r="P581">
        <v>1</v>
      </c>
      <c r="Q581">
        <v>1</v>
      </c>
      <c r="R581">
        <v>2</v>
      </c>
      <c r="S581" t="s">
        <v>85</v>
      </c>
      <c r="T581" t="s">
        <v>56</v>
      </c>
      <c r="U581" t="s">
        <v>37</v>
      </c>
      <c r="V581">
        <v>40</v>
      </c>
      <c r="W581" t="s">
        <v>423</v>
      </c>
      <c r="X581" t="s">
        <v>240</v>
      </c>
      <c r="Y581" t="s">
        <v>39</v>
      </c>
    </row>
    <row r="582" spans="1:25" x14ac:dyDescent="0.45">
      <c r="A582" t="s">
        <v>1673</v>
      </c>
      <c r="B582" t="s">
        <v>25</v>
      </c>
      <c r="C582" s="3" t="s">
        <v>1641</v>
      </c>
      <c r="D582" s="3" t="e">
        <f t="shared" si="18"/>
        <v>#VALUE!</v>
      </c>
      <c r="E582" t="s">
        <v>1674</v>
      </c>
      <c r="F582" s="4">
        <f t="shared" si="19"/>
        <v>0.65069444444444446</v>
      </c>
      <c r="G582" t="s">
        <v>881</v>
      </c>
      <c r="H582" t="s">
        <v>30</v>
      </c>
      <c r="I582" t="s">
        <v>43</v>
      </c>
      <c r="J582" t="s">
        <v>53</v>
      </c>
      <c r="K582" t="s">
        <v>1675</v>
      </c>
      <c r="L582" t="s">
        <v>34</v>
      </c>
      <c r="M582">
        <v>0</v>
      </c>
      <c r="N582">
        <v>7</v>
      </c>
      <c r="O582">
        <v>1</v>
      </c>
      <c r="P582">
        <v>6</v>
      </c>
      <c r="Q582">
        <v>0</v>
      </c>
      <c r="R582">
        <v>0</v>
      </c>
      <c r="S582" t="s">
        <v>55</v>
      </c>
      <c r="T582" t="s">
        <v>70</v>
      </c>
      <c r="U582" t="s">
        <v>37</v>
      </c>
      <c r="V582">
        <v>27</v>
      </c>
      <c r="W582" t="s">
        <v>38</v>
      </c>
      <c r="X582" t="s">
        <v>237</v>
      </c>
      <c r="Y582" t="s">
        <v>58</v>
      </c>
    </row>
    <row r="583" spans="1:25" x14ac:dyDescent="0.45">
      <c r="A583" t="s">
        <v>1676</v>
      </c>
      <c r="B583" t="s">
        <v>25</v>
      </c>
      <c r="C583" s="3" t="s">
        <v>1641</v>
      </c>
      <c r="D583" s="3" t="e">
        <f t="shared" si="18"/>
        <v>#VALUE!</v>
      </c>
      <c r="E583" t="s">
        <v>901</v>
      </c>
      <c r="F583" s="4">
        <f t="shared" si="19"/>
        <v>0.65208333333333335</v>
      </c>
      <c r="G583" t="s">
        <v>283</v>
      </c>
      <c r="H583" t="s">
        <v>30</v>
      </c>
      <c r="I583" t="s">
        <v>31</v>
      </c>
      <c r="J583" t="s">
        <v>94</v>
      </c>
      <c r="K583" t="s">
        <v>103</v>
      </c>
      <c r="L583" t="s">
        <v>46</v>
      </c>
      <c r="M583">
        <v>4</v>
      </c>
      <c r="N583">
        <v>3</v>
      </c>
      <c r="O583">
        <v>6</v>
      </c>
      <c r="P583">
        <v>7</v>
      </c>
      <c r="Q583">
        <v>4</v>
      </c>
      <c r="R583">
        <v>7</v>
      </c>
      <c r="S583" t="s">
        <v>55</v>
      </c>
      <c r="T583" t="s">
        <v>70</v>
      </c>
      <c r="U583" t="s">
        <v>37</v>
      </c>
      <c r="V583">
        <v>28</v>
      </c>
      <c r="W583" t="s">
        <v>38</v>
      </c>
      <c r="X583" t="s">
        <v>240</v>
      </c>
      <c r="Y583" t="s">
        <v>58</v>
      </c>
    </row>
    <row r="584" spans="1:25" x14ac:dyDescent="0.45">
      <c r="A584" t="s">
        <v>1677</v>
      </c>
      <c r="B584" t="s">
        <v>25</v>
      </c>
      <c r="C584" s="3" t="s">
        <v>1641</v>
      </c>
      <c r="D584" s="3" t="e">
        <f t="shared" si="18"/>
        <v>#VALUE!</v>
      </c>
      <c r="E584" t="s">
        <v>1678</v>
      </c>
      <c r="F584" s="4">
        <f t="shared" si="19"/>
        <v>0.67847222222222225</v>
      </c>
      <c r="G584" t="s">
        <v>1679</v>
      </c>
      <c r="H584" t="s">
        <v>30</v>
      </c>
      <c r="I584" t="s">
        <v>31</v>
      </c>
      <c r="J584" t="s">
        <v>53</v>
      </c>
      <c r="K584" t="s">
        <v>1680</v>
      </c>
      <c r="L584" t="s">
        <v>34</v>
      </c>
      <c r="M584">
        <v>1</v>
      </c>
      <c r="N584">
        <v>9</v>
      </c>
      <c r="O584">
        <v>5</v>
      </c>
      <c r="P584">
        <v>5</v>
      </c>
      <c r="Q584">
        <v>1</v>
      </c>
      <c r="R584">
        <v>1</v>
      </c>
      <c r="S584" t="s">
        <v>69</v>
      </c>
      <c r="T584" t="s">
        <v>70</v>
      </c>
      <c r="U584" t="s">
        <v>37</v>
      </c>
      <c r="V584">
        <v>30</v>
      </c>
      <c r="W584" t="s">
        <v>57</v>
      </c>
      <c r="X584" t="s">
        <v>237</v>
      </c>
      <c r="Y584" t="s">
        <v>57</v>
      </c>
    </row>
    <row r="585" spans="1:25" x14ac:dyDescent="0.45">
      <c r="A585" t="s">
        <v>1681</v>
      </c>
      <c r="B585" t="s">
        <v>25</v>
      </c>
      <c r="C585" s="3" t="s">
        <v>1641</v>
      </c>
      <c r="D585" s="3" t="e">
        <f t="shared" si="18"/>
        <v>#VALUE!</v>
      </c>
      <c r="E585" t="s">
        <v>1682</v>
      </c>
      <c r="F585" s="4">
        <f t="shared" si="19"/>
        <v>0.7055555555555556</v>
      </c>
      <c r="G585" t="s">
        <v>392</v>
      </c>
      <c r="H585" t="s">
        <v>30</v>
      </c>
      <c r="I585" t="s">
        <v>31</v>
      </c>
      <c r="J585" t="s">
        <v>53</v>
      </c>
      <c r="K585" t="s">
        <v>1683</v>
      </c>
      <c r="L585" t="s">
        <v>34</v>
      </c>
      <c r="M585">
        <v>0</v>
      </c>
      <c r="N585">
        <v>6</v>
      </c>
      <c r="O585">
        <v>5</v>
      </c>
      <c r="P585">
        <v>5</v>
      </c>
      <c r="Q585">
        <v>5</v>
      </c>
      <c r="R585">
        <v>6</v>
      </c>
      <c r="S585" t="s">
        <v>69</v>
      </c>
      <c r="T585" t="s">
        <v>36</v>
      </c>
      <c r="U585" t="s">
        <v>37</v>
      </c>
      <c r="V585">
        <v>37</v>
      </c>
      <c r="W585" t="s">
        <v>38</v>
      </c>
      <c r="X585" t="s">
        <v>237</v>
      </c>
      <c r="Y585" t="s">
        <v>39</v>
      </c>
    </row>
    <row r="586" spans="1:25" x14ac:dyDescent="0.45">
      <c r="A586" t="s">
        <v>1684</v>
      </c>
      <c r="B586" t="s">
        <v>25</v>
      </c>
      <c r="C586" s="3" t="s">
        <v>1641</v>
      </c>
      <c r="D586" s="3" t="e">
        <f t="shared" si="18"/>
        <v>#VALUE!</v>
      </c>
      <c r="E586" t="s">
        <v>1685</v>
      </c>
      <c r="F586" s="4">
        <f t="shared" si="19"/>
        <v>0.75277777777777777</v>
      </c>
      <c r="G586" t="s">
        <v>1686</v>
      </c>
      <c r="H586" t="s">
        <v>1687</v>
      </c>
      <c r="I586" t="s">
        <v>43</v>
      </c>
      <c r="J586" t="s">
        <v>44</v>
      </c>
      <c r="K586" t="s">
        <v>103</v>
      </c>
      <c r="L586" t="s">
        <v>204</v>
      </c>
      <c r="M586">
        <v>7</v>
      </c>
      <c r="N586">
        <v>7</v>
      </c>
      <c r="O586">
        <v>5</v>
      </c>
      <c r="P586">
        <v>5</v>
      </c>
      <c r="Q586">
        <v>0</v>
      </c>
      <c r="R586">
        <v>0</v>
      </c>
      <c r="S586" t="s">
        <v>69</v>
      </c>
      <c r="T586" t="s">
        <v>114</v>
      </c>
      <c r="U586" t="s">
        <v>37</v>
      </c>
      <c r="V586">
        <v>32</v>
      </c>
      <c r="W586" t="s">
        <v>199</v>
      </c>
      <c r="X586" t="s">
        <v>237</v>
      </c>
      <c r="Y586" t="s">
        <v>48</v>
      </c>
    </row>
    <row r="587" spans="1:25" x14ac:dyDescent="0.45">
      <c r="A587" t="s">
        <v>1688</v>
      </c>
      <c r="B587" t="s">
        <v>25</v>
      </c>
      <c r="C587" s="3" t="s">
        <v>1641</v>
      </c>
      <c r="D587" s="3" t="e">
        <f t="shared" si="18"/>
        <v>#VALUE!</v>
      </c>
      <c r="E587" t="s">
        <v>1689</v>
      </c>
      <c r="F587" s="4">
        <f t="shared" si="19"/>
        <v>0.76666666666666672</v>
      </c>
      <c r="G587" t="s">
        <v>1104</v>
      </c>
      <c r="H587" t="s">
        <v>30</v>
      </c>
      <c r="I587" t="s">
        <v>31</v>
      </c>
      <c r="J587" t="s">
        <v>44</v>
      </c>
      <c r="K587" t="s">
        <v>103</v>
      </c>
      <c r="L587" t="s">
        <v>34</v>
      </c>
      <c r="M587">
        <v>9</v>
      </c>
      <c r="N587">
        <v>7</v>
      </c>
      <c r="O587">
        <v>10</v>
      </c>
      <c r="P587">
        <v>10</v>
      </c>
      <c r="Q587">
        <v>5</v>
      </c>
      <c r="R587">
        <v>8</v>
      </c>
      <c r="S587" t="s">
        <v>85</v>
      </c>
      <c r="T587" t="s">
        <v>70</v>
      </c>
      <c r="U587" t="s">
        <v>37</v>
      </c>
      <c r="V587">
        <v>24</v>
      </c>
      <c r="W587" t="s">
        <v>1690</v>
      </c>
      <c r="X587" t="s">
        <v>237</v>
      </c>
      <c r="Y587" t="s">
        <v>1691</v>
      </c>
    </row>
    <row r="588" spans="1:25" x14ac:dyDescent="0.45">
      <c r="A588" t="s">
        <v>1692</v>
      </c>
      <c r="B588" t="s">
        <v>25</v>
      </c>
      <c r="C588" s="3" t="s">
        <v>1641</v>
      </c>
      <c r="D588" s="3" t="e">
        <f t="shared" si="18"/>
        <v>#VALUE!</v>
      </c>
      <c r="E588" t="s">
        <v>1055</v>
      </c>
      <c r="F588" s="4">
        <f t="shared" si="19"/>
        <v>0.93680555555555556</v>
      </c>
      <c r="G588" t="s">
        <v>548</v>
      </c>
      <c r="H588" t="s">
        <v>30</v>
      </c>
      <c r="I588" t="s">
        <v>31</v>
      </c>
      <c r="J588" t="s">
        <v>53</v>
      </c>
      <c r="K588" t="s">
        <v>103</v>
      </c>
      <c r="L588" t="s">
        <v>34</v>
      </c>
      <c r="M588">
        <v>6</v>
      </c>
      <c r="N588">
        <v>7</v>
      </c>
      <c r="O588">
        <v>7</v>
      </c>
      <c r="P588">
        <v>7</v>
      </c>
      <c r="Q588">
        <v>5</v>
      </c>
      <c r="R588">
        <v>6</v>
      </c>
      <c r="S588" t="s">
        <v>85</v>
      </c>
      <c r="T588" t="s">
        <v>70</v>
      </c>
      <c r="U588" t="s">
        <v>37</v>
      </c>
      <c r="V588">
        <v>39</v>
      </c>
      <c r="W588" t="s">
        <v>104</v>
      </c>
      <c r="X588" t="s">
        <v>262</v>
      </c>
      <c r="Y588" t="s">
        <v>39</v>
      </c>
    </row>
    <row r="589" spans="1:25" x14ac:dyDescent="0.45">
      <c r="A589" t="s">
        <v>1693</v>
      </c>
      <c r="B589" t="s">
        <v>25</v>
      </c>
      <c r="C589" s="3" t="s">
        <v>1641</v>
      </c>
      <c r="D589" s="3" t="e">
        <f t="shared" si="18"/>
        <v>#VALUE!</v>
      </c>
      <c r="E589" t="s">
        <v>1055</v>
      </c>
      <c r="F589" s="4">
        <f t="shared" si="19"/>
        <v>0.93680555555555556</v>
      </c>
      <c r="G589" t="s">
        <v>1694</v>
      </c>
      <c r="H589" t="s">
        <v>30</v>
      </c>
      <c r="I589" t="s">
        <v>31</v>
      </c>
      <c r="J589" t="s">
        <v>82</v>
      </c>
      <c r="K589" t="s">
        <v>45</v>
      </c>
      <c r="L589" t="s">
        <v>34</v>
      </c>
      <c r="M589">
        <v>6</v>
      </c>
      <c r="N589">
        <v>8</v>
      </c>
      <c r="O589">
        <v>7</v>
      </c>
      <c r="P589">
        <v>4</v>
      </c>
      <c r="Q589">
        <v>4</v>
      </c>
      <c r="R589">
        <v>2</v>
      </c>
      <c r="S589" t="s">
        <v>55</v>
      </c>
      <c r="T589" t="s">
        <v>1695</v>
      </c>
      <c r="U589" t="s">
        <v>37</v>
      </c>
      <c r="V589">
        <v>34</v>
      </c>
      <c r="W589" t="s">
        <v>199</v>
      </c>
      <c r="X589" t="s">
        <v>237</v>
      </c>
      <c r="Y589" t="s">
        <v>48</v>
      </c>
    </row>
    <row r="590" spans="1:25" x14ac:dyDescent="0.45">
      <c r="A590" t="s">
        <v>1696</v>
      </c>
      <c r="B590" t="s">
        <v>25</v>
      </c>
      <c r="C590" s="3" t="s">
        <v>1641</v>
      </c>
      <c r="D590" s="3" t="e">
        <f t="shared" si="18"/>
        <v>#VALUE!</v>
      </c>
      <c r="E590" t="s">
        <v>1360</v>
      </c>
      <c r="F590" s="4">
        <f t="shared" si="19"/>
        <v>0.94652777777777775</v>
      </c>
      <c r="G590" t="s">
        <v>165</v>
      </c>
      <c r="H590" t="s">
        <v>30</v>
      </c>
      <c r="I590" t="s">
        <v>43</v>
      </c>
      <c r="J590" t="s">
        <v>44</v>
      </c>
      <c r="K590" t="s">
        <v>1697</v>
      </c>
      <c r="L590" t="s">
        <v>34</v>
      </c>
      <c r="M590">
        <v>5</v>
      </c>
      <c r="N590">
        <v>6</v>
      </c>
      <c r="O590">
        <v>10</v>
      </c>
      <c r="P590">
        <v>7</v>
      </c>
      <c r="Q590">
        <v>3</v>
      </c>
      <c r="R590">
        <v>3</v>
      </c>
      <c r="S590" t="s">
        <v>85</v>
      </c>
      <c r="T590" t="s">
        <v>36</v>
      </c>
      <c r="U590" t="s">
        <v>37</v>
      </c>
      <c r="V590">
        <v>27</v>
      </c>
      <c r="W590" t="s">
        <v>38</v>
      </c>
      <c r="X590" t="s">
        <v>237</v>
      </c>
      <c r="Y590" t="s">
        <v>58</v>
      </c>
    </row>
    <row r="591" spans="1:25" x14ac:dyDescent="0.45">
      <c r="A591" t="s">
        <v>1698</v>
      </c>
      <c r="B591" t="s">
        <v>25</v>
      </c>
      <c r="C591" s="3" t="s">
        <v>1641</v>
      </c>
      <c r="D591" s="3" t="e">
        <f t="shared" si="18"/>
        <v>#VALUE!</v>
      </c>
      <c r="E591" t="s">
        <v>1699</v>
      </c>
      <c r="F591" s="4">
        <f t="shared" si="19"/>
        <v>0.97847222222222219</v>
      </c>
      <c r="G591" t="s">
        <v>485</v>
      </c>
      <c r="H591" t="s">
        <v>30</v>
      </c>
      <c r="I591" t="s">
        <v>31</v>
      </c>
      <c r="J591" t="s">
        <v>94</v>
      </c>
      <c r="K591" t="s">
        <v>33</v>
      </c>
      <c r="L591" t="s">
        <v>717</v>
      </c>
      <c r="M591">
        <v>7</v>
      </c>
      <c r="N591">
        <v>7</v>
      </c>
      <c r="O591">
        <v>4</v>
      </c>
      <c r="P591">
        <v>7</v>
      </c>
      <c r="Q591">
        <v>7</v>
      </c>
      <c r="R591">
        <v>7</v>
      </c>
      <c r="S591" t="s">
        <v>69</v>
      </c>
      <c r="T591" t="s">
        <v>70</v>
      </c>
      <c r="U591" t="s">
        <v>37</v>
      </c>
      <c r="V591">
        <v>54</v>
      </c>
      <c r="W591" t="s">
        <v>38</v>
      </c>
      <c r="X591" t="s">
        <v>227</v>
      </c>
      <c r="Y591" t="s">
        <v>39</v>
      </c>
    </row>
    <row r="592" spans="1:25" x14ac:dyDescent="0.45">
      <c r="A592" t="s">
        <v>1700</v>
      </c>
      <c r="B592" t="s">
        <v>25</v>
      </c>
      <c r="C592" s="3" t="s">
        <v>1641</v>
      </c>
      <c r="D592" s="3" t="e">
        <f t="shared" si="18"/>
        <v>#VALUE!</v>
      </c>
      <c r="E592" t="s">
        <v>1701</v>
      </c>
      <c r="F592" s="4">
        <f t="shared" si="19"/>
        <v>0.99305555555555558</v>
      </c>
      <c r="G592" t="s">
        <v>1520</v>
      </c>
      <c r="H592" t="s">
        <v>123</v>
      </c>
      <c r="I592" t="s">
        <v>43</v>
      </c>
      <c r="J592" t="s">
        <v>53</v>
      </c>
      <c r="K592" t="s">
        <v>103</v>
      </c>
      <c r="L592" t="s">
        <v>34</v>
      </c>
      <c r="M592">
        <v>0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69</v>
      </c>
      <c r="T592" t="s">
        <v>36</v>
      </c>
      <c r="U592" t="s">
        <v>65</v>
      </c>
      <c r="V592">
        <v>20</v>
      </c>
      <c r="W592" t="s">
        <v>147</v>
      </c>
      <c r="X592" t="s">
        <v>237</v>
      </c>
      <c r="Y592" t="s">
        <v>48</v>
      </c>
    </row>
    <row r="593" spans="1:25" x14ac:dyDescent="0.45">
      <c r="A593" t="s">
        <v>1702</v>
      </c>
      <c r="B593" t="s">
        <v>25</v>
      </c>
      <c r="C593" s="3" t="s">
        <v>1703</v>
      </c>
      <c r="D593" s="3" t="e">
        <f t="shared" si="18"/>
        <v>#VALUE!</v>
      </c>
      <c r="E593" t="s">
        <v>1704</v>
      </c>
      <c r="F593" s="4">
        <f t="shared" si="19"/>
        <v>0.10277777777777777</v>
      </c>
      <c r="G593" t="s">
        <v>344</v>
      </c>
      <c r="H593" t="s">
        <v>123</v>
      </c>
      <c r="I593" t="s">
        <v>31</v>
      </c>
      <c r="J593" t="s">
        <v>53</v>
      </c>
      <c r="K593" t="s">
        <v>45</v>
      </c>
      <c r="L593" t="s">
        <v>84</v>
      </c>
      <c r="M593">
        <v>3</v>
      </c>
      <c r="N593">
        <v>3</v>
      </c>
      <c r="O593">
        <v>3</v>
      </c>
      <c r="P593">
        <v>3</v>
      </c>
      <c r="Q593">
        <v>3</v>
      </c>
      <c r="R593">
        <v>3</v>
      </c>
      <c r="S593" t="s">
        <v>85</v>
      </c>
      <c r="T593" t="s">
        <v>56</v>
      </c>
      <c r="U593" t="s">
        <v>37</v>
      </c>
      <c r="V593">
        <v>25</v>
      </c>
      <c r="W593" t="s">
        <v>147</v>
      </c>
      <c r="X593" t="s">
        <v>240</v>
      </c>
      <c r="Y593" t="s">
        <v>48</v>
      </c>
    </row>
    <row r="594" spans="1:25" x14ac:dyDescent="0.45">
      <c r="A594" t="s">
        <v>1705</v>
      </c>
      <c r="B594" t="s">
        <v>25</v>
      </c>
      <c r="C594" s="3" t="s">
        <v>1703</v>
      </c>
      <c r="D594" s="3" t="e">
        <f t="shared" si="18"/>
        <v>#VALUE!</v>
      </c>
      <c r="E594" t="s">
        <v>1706</v>
      </c>
      <c r="F594" s="4">
        <f t="shared" si="19"/>
        <v>0.2013888888888889</v>
      </c>
      <c r="G594" t="s">
        <v>825</v>
      </c>
      <c r="H594" t="s">
        <v>123</v>
      </c>
      <c r="I594" t="s">
        <v>43</v>
      </c>
      <c r="J594" t="s">
        <v>53</v>
      </c>
      <c r="K594" t="s">
        <v>103</v>
      </c>
      <c r="L594" t="s">
        <v>34</v>
      </c>
      <c r="M594">
        <v>7</v>
      </c>
      <c r="N594">
        <v>7</v>
      </c>
      <c r="O594">
        <v>2</v>
      </c>
      <c r="P594">
        <v>2</v>
      </c>
      <c r="Q594">
        <v>7</v>
      </c>
      <c r="R594">
        <v>9</v>
      </c>
      <c r="S594" t="s">
        <v>55</v>
      </c>
      <c r="T594" t="s">
        <v>56</v>
      </c>
      <c r="U594" t="s">
        <v>37</v>
      </c>
      <c r="V594">
        <v>33</v>
      </c>
      <c r="W594" t="s">
        <v>147</v>
      </c>
      <c r="X594" t="s">
        <v>237</v>
      </c>
      <c r="Y594" t="s">
        <v>48</v>
      </c>
    </row>
    <row r="595" spans="1:25" x14ac:dyDescent="0.45">
      <c r="A595" t="s">
        <v>1707</v>
      </c>
      <c r="B595" t="s">
        <v>25</v>
      </c>
      <c r="C595" s="3" t="s">
        <v>1703</v>
      </c>
      <c r="D595" s="3" t="e">
        <f t="shared" si="18"/>
        <v>#VALUE!</v>
      </c>
      <c r="E595" t="s">
        <v>1708</v>
      </c>
      <c r="F595" s="4">
        <f t="shared" si="19"/>
        <v>0.22916666666666666</v>
      </c>
      <c r="G595" t="s">
        <v>485</v>
      </c>
      <c r="H595" t="s">
        <v>30</v>
      </c>
      <c r="I595" t="s">
        <v>31</v>
      </c>
      <c r="J595" t="s">
        <v>44</v>
      </c>
      <c r="K595" t="s">
        <v>103</v>
      </c>
      <c r="L595" t="s">
        <v>34</v>
      </c>
      <c r="M595">
        <v>4</v>
      </c>
      <c r="N595">
        <v>8</v>
      </c>
      <c r="O595">
        <v>8</v>
      </c>
      <c r="P595">
        <v>8</v>
      </c>
      <c r="Q595">
        <v>10</v>
      </c>
      <c r="R595">
        <v>10</v>
      </c>
      <c r="S595" t="s">
        <v>64</v>
      </c>
      <c r="T595" t="s">
        <v>36</v>
      </c>
      <c r="U595" t="s">
        <v>37</v>
      </c>
      <c r="V595">
        <v>30</v>
      </c>
      <c r="W595" t="s">
        <v>109</v>
      </c>
      <c r="X595" t="s">
        <v>240</v>
      </c>
      <c r="Y595" t="s">
        <v>39</v>
      </c>
    </row>
    <row r="596" spans="1:25" x14ac:dyDescent="0.45">
      <c r="A596" t="s">
        <v>1709</v>
      </c>
      <c r="B596" t="s">
        <v>25</v>
      </c>
      <c r="C596" s="3" t="s">
        <v>1703</v>
      </c>
      <c r="D596" s="3" t="e">
        <f t="shared" si="18"/>
        <v>#VALUE!</v>
      </c>
      <c r="E596" t="s">
        <v>1710</v>
      </c>
      <c r="F596" s="4">
        <f t="shared" si="19"/>
        <v>0.25</v>
      </c>
      <c r="G596" t="s">
        <v>1711</v>
      </c>
      <c r="H596" t="s">
        <v>123</v>
      </c>
      <c r="I596" t="s">
        <v>31</v>
      </c>
      <c r="J596" t="s">
        <v>53</v>
      </c>
      <c r="K596" t="s">
        <v>103</v>
      </c>
      <c r="L596" t="s">
        <v>34</v>
      </c>
      <c r="M596">
        <v>0</v>
      </c>
      <c r="N596">
        <v>4</v>
      </c>
      <c r="O596">
        <v>2</v>
      </c>
      <c r="P596">
        <v>0</v>
      </c>
      <c r="Q596">
        <v>1</v>
      </c>
      <c r="R596">
        <v>3</v>
      </c>
      <c r="S596" t="s">
        <v>85</v>
      </c>
      <c r="T596" t="s">
        <v>70</v>
      </c>
      <c r="U596" t="s">
        <v>37</v>
      </c>
      <c r="V596">
        <v>31</v>
      </c>
      <c r="W596" t="s">
        <v>120</v>
      </c>
      <c r="X596" t="s">
        <v>227</v>
      </c>
      <c r="Y596" t="s">
        <v>58</v>
      </c>
    </row>
    <row r="597" spans="1:25" x14ac:dyDescent="0.45">
      <c r="A597" t="s">
        <v>1712</v>
      </c>
      <c r="B597" t="s">
        <v>25</v>
      </c>
      <c r="C597" s="3" t="s">
        <v>1703</v>
      </c>
      <c r="D597" s="3" t="e">
        <f t="shared" si="18"/>
        <v>#VALUE!</v>
      </c>
      <c r="E597" t="s">
        <v>1713</v>
      </c>
      <c r="F597" s="4">
        <f t="shared" si="19"/>
        <v>0.28749999999999998</v>
      </c>
      <c r="G597" t="s">
        <v>801</v>
      </c>
      <c r="H597" t="s">
        <v>123</v>
      </c>
      <c r="I597" t="s">
        <v>31</v>
      </c>
      <c r="J597" t="s">
        <v>53</v>
      </c>
      <c r="K597" t="s">
        <v>1714</v>
      </c>
      <c r="L597" t="s">
        <v>34</v>
      </c>
      <c r="M597">
        <v>5</v>
      </c>
      <c r="N597">
        <v>6</v>
      </c>
      <c r="O597">
        <v>5</v>
      </c>
      <c r="P597">
        <v>6</v>
      </c>
      <c r="Q597">
        <v>2</v>
      </c>
      <c r="R597">
        <v>1</v>
      </c>
      <c r="S597" t="s">
        <v>69</v>
      </c>
      <c r="T597" t="s">
        <v>36</v>
      </c>
      <c r="U597" t="s">
        <v>37</v>
      </c>
      <c r="V597">
        <v>22</v>
      </c>
      <c r="W597" t="s">
        <v>289</v>
      </c>
      <c r="X597" t="s">
        <v>240</v>
      </c>
      <c r="Y597" t="s">
        <v>1715</v>
      </c>
    </row>
    <row r="598" spans="1:25" x14ac:dyDescent="0.45">
      <c r="A598" t="s">
        <v>1716</v>
      </c>
      <c r="B598" t="s">
        <v>25</v>
      </c>
      <c r="C598" s="3" t="s">
        <v>1703</v>
      </c>
      <c r="D598" s="3" t="e">
        <f t="shared" si="18"/>
        <v>#VALUE!</v>
      </c>
      <c r="E598" t="s">
        <v>1717</v>
      </c>
      <c r="F598" s="4">
        <f t="shared" si="19"/>
        <v>0.33750000000000002</v>
      </c>
      <c r="G598" t="s">
        <v>93</v>
      </c>
      <c r="H598" t="s">
        <v>30</v>
      </c>
      <c r="I598" t="s">
        <v>31</v>
      </c>
      <c r="J598" t="s">
        <v>94</v>
      </c>
      <c r="K598" t="s">
        <v>103</v>
      </c>
      <c r="L598" t="s">
        <v>46</v>
      </c>
      <c r="M598">
        <v>8</v>
      </c>
      <c r="N598">
        <v>10</v>
      </c>
      <c r="O598">
        <v>10</v>
      </c>
      <c r="P598">
        <v>10</v>
      </c>
      <c r="Q598">
        <v>8</v>
      </c>
      <c r="R598">
        <v>9</v>
      </c>
      <c r="S598" t="s">
        <v>85</v>
      </c>
      <c r="T598" t="s">
        <v>36</v>
      </c>
      <c r="U598" t="s">
        <v>65</v>
      </c>
      <c r="V598">
        <v>38</v>
      </c>
      <c r="W598" t="s">
        <v>38</v>
      </c>
      <c r="X598" t="s">
        <v>237</v>
      </c>
      <c r="Y598" t="s">
        <v>58</v>
      </c>
    </row>
    <row r="599" spans="1:25" x14ac:dyDescent="0.45">
      <c r="A599" t="s">
        <v>1718</v>
      </c>
      <c r="B599" t="s">
        <v>25</v>
      </c>
      <c r="C599" s="3" t="s">
        <v>1703</v>
      </c>
      <c r="D599" s="3" t="e">
        <f t="shared" si="18"/>
        <v>#VALUE!</v>
      </c>
      <c r="E599" t="s">
        <v>542</v>
      </c>
      <c r="F599" s="4">
        <f t="shared" si="19"/>
        <v>0.43680555555555556</v>
      </c>
      <c r="G599" t="s">
        <v>304</v>
      </c>
      <c r="H599" t="s">
        <v>30</v>
      </c>
      <c r="I599" t="s">
        <v>43</v>
      </c>
      <c r="J599" t="s">
        <v>53</v>
      </c>
      <c r="K599" t="s">
        <v>95</v>
      </c>
      <c r="L599" t="s">
        <v>34</v>
      </c>
      <c r="M599">
        <v>6</v>
      </c>
      <c r="N599">
        <v>9</v>
      </c>
      <c r="O599">
        <v>7</v>
      </c>
      <c r="P599">
        <v>7</v>
      </c>
      <c r="Q599">
        <v>5</v>
      </c>
      <c r="R599">
        <v>8</v>
      </c>
      <c r="S599" t="s">
        <v>85</v>
      </c>
      <c r="T599" t="s">
        <v>56</v>
      </c>
      <c r="U599" t="s">
        <v>37</v>
      </c>
      <c r="V599">
        <v>22</v>
      </c>
      <c r="W599" t="s">
        <v>744</v>
      </c>
      <c r="X599" t="s">
        <v>237</v>
      </c>
      <c r="Y599" t="s">
        <v>1719</v>
      </c>
    </row>
    <row r="600" spans="1:25" x14ac:dyDescent="0.45">
      <c r="A600" t="s">
        <v>1720</v>
      </c>
      <c r="B600" t="s">
        <v>25</v>
      </c>
      <c r="C600" s="3" t="s">
        <v>1703</v>
      </c>
      <c r="D600" s="3" t="e">
        <f t="shared" si="18"/>
        <v>#VALUE!</v>
      </c>
      <c r="E600" t="s">
        <v>1721</v>
      </c>
      <c r="F600" s="4">
        <f t="shared" si="19"/>
        <v>0.56805555555555554</v>
      </c>
      <c r="G600" t="s">
        <v>154</v>
      </c>
      <c r="H600" t="s">
        <v>77</v>
      </c>
      <c r="I600" t="s">
        <v>31</v>
      </c>
      <c r="J600" t="s">
        <v>53</v>
      </c>
      <c r="K600" t="s">
        <v>712</v>
      </c>
      <c r="L600" t="s">
        <v>34</v>
      </c>
      <c r="M600">
        <v>2</v>
      </c>
      <c r="N600">
        <v>3</v>
      </c>
      <c r="O600">
        <v>4</v>
      </c>
      <c r="P600">
        <v>5</v>
      </c>
      <c r="Q600">
        <v>3</v>
      </c>
      <c r="R600">
        <v>6</v>
      </c>
      <c r="S600" t="s">
        <v>64</v>
      </c>
      <c r="T600" t="s">
        <v>70</v>
      </c>
      <c r="U600" t="s">
        <v>37</v>
      </c>
      <c r="V600">
        <v>33</v>
      </c>
      <c r="W600" t="s">
        <v>147</v>
      </c>
      <c r="X600" t="s">
        <v>237</v>
      </c>
      <c r="Y600" t="s">
        <v>48</v>
      </c>
    </row>
    <row r="601" spans="1:25" x14ac:dyDescent="0.45">
      <c r="A601" t="s">
        <v>1722</v>
      </c>
      <c r="B601" t="s">
        <v>25</v>
      </c>
      <c r="C601" s="3" t="s">
        <v>1703</v>
      </c>
      <c r="D601" s="3" t="e">
        <f t="shared" si="18"/>
        <v>#VALUE!</v>
      </c>
      <c r="E601" t="s">
        <v>888</v>
      </c>
      <c r="F601" s="4">
        <f t="shared" si="19"/>
        <v>0.64236111111111116</v>
      </c>
      <c r="G601" t="s">
        <v>215</v>
      </c>
      <c r="H601" t="s">
        <v>30</v>
      </c>
      <c r="I601" t="s">
        <v>31</v>
      </c>
      <c r="J601" t="s">
        <v>44</v>
      </c>
      <c r="K601" t="s">
        <v>103</v>
      </c>
      <c r="L601" t="s">
        <v>34</v>
      </c>
      <c r="M601">
        <v>3</v>
      </c>
      <c r="N601">
        <v>6</v>
      </c>
      <c r="O601">
        <v>6</v>
      </c>
      <c r="P601">
        <v>6</v>
      </c>
      <c r="Q601">
        <v>5</v>
      </c>
      <c r="R601">
        <v>5</v>
      </c>
      <c r="S601" t="s">
        <v>85</v>
      </c>
      <c r="T601" t="s">
        <v>70</v>
      </c>
      <c r="U601" t="s">
        <v>37</v>
      </c>
      <c r="V601">
        <v>27</v>
      </c>
      <c r="W601" t="s">
        <v>47</v>
      </c>
      <c r="X601" t="s">
        <v>237</v>
      </c>
      <c r="Y601" t="s">
        <v>39</v>
      </c>
    </row>
    <row r="602" spans="1:25" x14ac:dyDescent="0.45">
      <c r="A602" t="s">
        <v>1723</v>
      </c>
      <c r="B602" t="s">
        <v>25</v>
      </c>
      <c r="C602" s="3" t="s">
        <v>1703</v>
      </c>
      <c r="D602" s="3" t="e">
        <f t="shared" si="18"/>
        <v>#VALUE!</v>
      </c>
      <c r="E602" t="s">
        <v>1724</v>
      </c>
      <c r="F602" s="4">
        <f t="shared" si="19"/>
        <v>0.66666666666666663</v>
      </c>
      <c r="G602" t="s">
        <v>143</v>
      </c>
      <c r="H602" t="s">
        <v>30</v>
      </c>
      <c r="I602" t="s">
        <v>43</v>
      </c>
      <c r="J602" t="s">
        <v>53</v>
      </c>
      <c r="K602" t="s">
        <v>103</v>
      </c>
      <c r="L602" t="s">
        <v>46</v>
      </c>
      <c r="M602">
        <v>0</v>
      </c>
      <c r="N602">
        <v>6</v>
      </c>
      <c r="O602">
        <v>3</v>
      </c>
      <c r="P602">
        <v>0</v>
      </c>
      <c r="Q602">
        <v>0</v>
      </c>
      <c r="R602">
        <v>10</v>
      </c>
      <c r="S602" t="s">
        <v>85</v>
      </c>
      <c r="T602" t="s">
        <v>36</v>
      </c>
      <c r="U602" t="s">
        <v>37</v>
      </c>
      <c r="V602">
        <v>19</v>
      </c>
      <c r="W602" t="s">
        <v>1725</v>
      </c>
      <c r="X602" t="s">
        <v>237</v>
      </c>
      <c r="Y602" t="s">
        <v>39</v>
      </c>
    </row>
    <row r="603" spans="1:25" x14ac:dyDescent="0.45">
      <c r="A603" t="s">
        <v>1726</v>
      </c>
      <c r="B603" t="s">
        <v>25</v>
      </c>
      <c r="C603" s="3" t="s">
        <v>1703</v>
      </c>
      <c r="D603" s="3" t="e">
        <f t="shared" si="18"/>
        <v>#VALUE!</v>
      </c>
      <c r="E603" t="s">
        <v>1727</v>
      </c>
      <c r="F603" s="4">
        <f t="shared" si="19"/>
        <v>0.95277777777777772</v>
      </c>
      <c r="G603" t="s">
        <v>112</v>
      </c>
      <c r="H603" t="s">
        <v>1728</v>
      </c>
      <c r="I603" t="s">
        <v>43</v>
      </c>
      <c r="J603" t="s">
        <v>53</v>
      </c>
      <c r="K603" t="s">
        <v>1254</v>
      </c>
      <c r="L603" t="s">
        <v>34</v>
      </c>
      <c r="M603">
        <v>1</v>
      </c>
      <c r="N603">
        <v>6</v>
      </c>
      <c r="O603">
        <v>2</v>
      </c>
      <c r="P603">
        <v>5</v>
      </c>
      <c r="Q603">
        <v>1</v>
      </c>
      <c r="R603">
        <v>0</v>
      </c>
      <c r="S603" t="s">
        <v>85</v>
      </c>
      <c r="T603" t="s">
        <v>70</v>
      </c>
      <c r="U603" t="s">
        <v>37</v>
      </c>
      <c r="V603">
        <v>24</v>
      </c>
      <c r="W603" t="s">
        <v>147</v>
      </c>
      <c r="X603" t="s">
        <v>237</v>
      </c>
      <c r="Y603" t="s">
        <v>200</v>
      </c>
    </row>
    <row r="604" spans="1:25" x14ac:dyDescent="0.45">
      <c r="A604" t="s">
        <v>1729</v>
      </c>
      <c r="B604" t="s">
        <v>25</v>
      </c>
      <c r="C604" s="3" t="s">
        <v>1703</v>
      </c>
      <c r="D604" s="3" t="e">
        <f t="shared" si="18"/>
        <v>#VALUE!</v>
      </c>
      <c r="E604" t="s">
        <v>1730</v>
      </c>
      <c r="F604" s="4">
        <f t="shared" si="19"/>
        <v>0.95763888888888893</v>
      </c>
      <c r="G604" t="s">
        <v>1467</v>
      </c>
      <c r="H604" t="s">
        <v>1731</v>
      </c>
      <c r="I604" t="s">
        <v>43</v>
      </c>
      <c r="J604" t="s">
        <v>63</v>
      </c>
      <c r="K604" t="s">
        <v>45</v>
      </c>
      <c r="L604" t="s">
        <v>1732</v>
      </c>
      <c r="M604">
        <v>8</v>
      </c>
      <c r="N604">
        <v>10</v>
      </c>
      <c r="O604">
        <v>9</v>
      </c>
      <c r="P604">
        <v>10</v>
      </c>
      <c r="Q604">
        <v>8</v>
      </c>
      <c r="R604">
        <v>10</v>
      </c>
      <c r="S604" t="s">
        <v>64</v>
      </c>
      <c r="T604" t="s">
        <v>114</v>
      </c>
      <c r="U604" t="s">
        <v>65</v>
      </c>
      <c r="V604">
        <v>58</v>
      </c>
      <c r="W604" t="s">
        <v>38</v>
      </c>
      <c r="X604" t="s">
        <v>240</v>
      </c>
      <c r="Y604" t="s">
        <v>39</v>
      </c>
    </row>
    <row r="605" spans="1:25" x14ac:dyDescent="0.45">
      <c r="A605" t="s">
        <v>1733</v>
      </c>
      <c r="B605" t="s">
        <v>25</v>
      </c>
      <c r="C605" s="3" t="s">
        <v>1734</v>
      </c>
      <c r="D605" s="3" t="e">
        <f t="shared" si="18"/>
        <v>#VALUE!</v>
      </c>
      <c r="E605" t="s">
        <v>1452</v>
      </c>
      <c r="F605" s="4">
        <f t="shared" si="19"/>
        <v>0.5854166666666667</v>
      </c>
      <c r="G605" t="s">
        <v>165</v>
      </c>
      <c r="H605" t="s">
        <v>30</v>
      </c>
      <c r="I605" t="s">
        <v>43</v>
      </c>
      <c r="J605" t="s">
        <v>53</v>
      </c>
      <c r="K605" t="s">
        <v>103</v>
      </c>
      <c r="L605" t="s">
        <v>34</v>
      </c>
      <c r="M605">
        <v>2</v>
      </c>
      <c r="N605">
        <v>2</v>
      </c>
      <c r="O605">
        <v>5</v>
      </c>
      <c r="P605">
        <v>6</v>
      </c>
      <c r="Q605">
        <v>6</v>
      </c>
      <c r="R605">
        <v>3</v>
      </c>
      <c r="S605" t="s">
        <v>85</v>
      </c>
      <c r="T605" t="s">
        <v>56</v>
      </c>
      <c r="U605" t="s">
        <v>37</v>
      </c>
      <c r="V605">
        <v>22</v>
      </c>
      <c r="W605" t="s">
        <v>419</v>
      </c>
      <c r="X605" t="s">
        <v>237</v>
      </c>
      <c r="Y605" t="s">
        <v>58</v>
      </c>
    </row>
    <row r="606" spans="1:25" x14ac:dyDescent="0.45">
      <c r="A606" t="s">
        <v>1735</v>
      </c>
      <c r="B606" t="s">
        <v>25</v>
      </c>
      <c r="C606" s="3" t="s">
        <v>1734</v>
      </c>
      <c r="D606" s="3" t="e">
        <f t="shared" si="18"/>
        <v>#VALUE!</v>
      </c>
      <c r="E606" t="s">
        <v>1736</v>
      </c>
      <c r="F606" s="4">
        <f t="shared" si="19"/>
        <v>0.69236111111111109</v>
      </c>
      <c r="G606" t="s">
        <v>467</v>
      </c>
      <c r="H606" t="s">
        <v>30</v>
      </c>
      <c r="I606" t="s">
        <v>43</v>
      </c>
      <c r="J606" t="s">
        <v>87</v>
      </c>
      <c r="K606" t="s">
        <v>103</v>
      </c>
      <c r="L606" t="s">
        <v>34</v>
      </c>
      <c r="M606">
        <v>4</v>
      </c>
      <c r="N606">
        <v>4</v>
      </c>
      <c r="O606">
        <v>4</v>
      </c>
      <c r="P606">
        <v>4</v>
      </c>
      <c r="Q606">
        <v>3</v>
      </c>
      <c r="R606">
        <v>4</v>
      </c>
      <c r="S606" t="s">
        <v>85</v>
      </c>
      <c r="T606" t="s">
        <v>70</v>
      </c>
      <c r="U606" t="s">
        <v>37</v>
      </c>
      <c r="V606">
        <v>26</v>
      </c>
      <c r="W606" t="s">
        <v>1737</v>
      </c>
      <c r="X606" t="s">
        <v>240</v>
      </c>
      <c r="Y606" t="s">
        <v>48</v>
      </c>
    </row>
    <row r="607" spans="1:25" x14ac:dyDescent="0.45">
      <c r="A607" t="s">
        <v>1738</v>
      </c>
      <c r="B607" t="s">
        <v>25</v>
      </c>
      <c r="C607" s="3" t="s">
        <v>1734</v>
      </c>
      <c r="D607" s="3" t="e">
        <f t="shared" si="18"/>
        <v>#VALUE!</v>
      </c>
      <c r="E607" t="s">
        <v>1739</v>
      </c>
      <c r="F607" s="4">
        <f t="shared" si="19"/>
        <v>0.72361111111111109</v>
      </c>
      <c r="G607" t="s">
        <v>1225</v>
      </c>
      <c r="H607" t="s">
        <v>1740</v>
      </c>
      <c r="I607" t="s">
        <v>43</v>
      </c>
      <c r="J607" t="s">
        <v>44</v>
      </c>
      <c r="K607" t="s">
        <v>103</v>
      </c>
      <c r="L607" t="s">
        <v>376</v>
      </c>
      <c r="M607">
        <v>4</v>
      </c>
      <c r="N607">
        <v>5</v>
      </c>
      <c r="O607">
        <v>4</v>
      </c>
      <c r="P607">
        <v>5</v>
      </c>
      <c r="Q607">
        <v>5</v>
      </c>
      <c r="R607">
        <v>3</v>
      </c>
      <c r="S607" t="s">
        <v>55</v>
      </c>
      <c r="T607" t="s">
        <v>114</v>
      </c>
      <c r="U607" t="s">
        <v>65</v>
      </c>
      <c r="V607">
        <v>31</v>
      </c>
      <c r="W607" t="s">
        <v>109</v>
      </c>
      <c r="X607" t="s">
        <v>237</v>
      </c>
      <c r="Y607" t="s">
        <v>39</v>
      </c>
    </row>
    <row r="608" spans="1:25" x14ac:dyDescent="0.45">
      <c r="A608" t="s">
        <v>1741</v>
      </c>
      <c r="B608" t="s">
        <v>25</v>
      </c>
      <c r="C608" s="3" t="s">
        <v>1742</v>
      </c>
      <c r="D608" s="3" t="e">
        <f t="shared" si="18"/>
        <v>#VALUE!</v>
      </c>
      <c r="E608" t="s">
        <v>1743</v>
      </c>
      <c r="F608" s="4">
        <f t="shared" si="19"/>
        <v>3.3333333333333333E-2</v>
      </c>
      <c r="G608" t="s">
        <v>317</v>
      </c>
      <c r="H608" t="s">
        <v>30</v>
      </c>
      <c r="I608" t="s">
        <v>43</v>
      </c>
      <c r="J608" t="s">
        <v>44</v>
      </c>
      <c r="K608" t="s">
        <v>794</v>
      </c>
      <c r="L608" t="s">
        <v>34</v>
      </c>
      <c r="M608">
        <v>2</v>
      </c>
      <c r="N608">
        <v>2</v>
      </c>
      <c r="O608">
        <v>4</v>
      </c>
      <c r="P608">
        <v>5</v>
      </c>
      <c r="Q608">
        <v>1</v>
      </c>
      <c r="R608">
        <v>1</v>
      </c>
      <c r="S608" t="s">
        <v>85</v>
      </c>
      <c r="T608" t="s">
        <v>70</v>
      </c>
      <c r="U608" t="s">
        <v>37</v>
      </c>
      <c r="V608">
        <v>23</v>
      </c>
      <c r="W608" t="s">
        <v>38</v>
      </c>
      <c r="X608" t="s">
        <v>227</v>
      </c>
      <c r="Y608" t="s">
        <v>91</v>
      </c>
    </row>
    <row r="609" spans="1:25" x14ac:dyDescent="0.45">
      <c r="A609" t="s">
        <v>1744</v>
      </c>
      <c r="B609" t="s">
        <v>25</v>
      </c>
      <c r="C609" s="3" t="s">
        <v>1742</v>
      </c>
      <c r="D609" s="3" t="e">
        <f t="shared" si="18"/>
        <v>#VALUE!</v>
      </c>
      <c r="E609" t="s">
        <v>547</v>
      </c>
      <c r="F609" s="4">
        <f t="shared" si="19"/>
        <v>0.43958333333333333</v>
      </c>
      <c r="G609" t="s">
        <v>154</v>
      </c>
      <c r="H609" t="s">
        <v>30</v>
      </c>
      <c r="I609" t="s">
        <v>43</v>
      </c>
      <c r="J609" t="s">
        <v>87</v>
      </c>
      <c r="K609" t="s">
        <v>33</v>
      </c>
      <c r="L609" t="s">
        <v>34</v>
      </c>
      <c r="M609">
        <v>7</v>
      </c>
      <c r="N609">
        <v>10</v>
      </c>
      <c r="O609">
        <v>10</v>
      </c>
      <c r="P609">
        <v>10</v>
      </c>
      <c r="Q609">
        <v>7</v>
      </c>
      <c r="R609">
        <v>8</v>
      </c>
      <c r="S609" t="s">
        <v>85</v>
      </c>
      <c r="T609" t="s">
        <v>36</v>
      </c>
      <c r="U609" t="s">
        <v>65</v>
      </c>
      <c r="V609">
        <v>31</v>
      </c>
      <c r="W609" t="s">
        <v>38</v>
      </c>
      <c r="X609" t="s">
        <v>240</v>
      </c>
      <c r="Y609" t="s">
        <v>48</v>
      </c>
    </row>
    <row r="610" spans="1:25" x14ac:dyDescent="0.45">
      <c r="A610" t="s">
        <v>1745</v>
      </c>
      <c r="B610" t="s">
        <v>25</v>
      </c>
      <c r="C610" s="3" t="s">
        <v>1742</v>
      </c>
      <c r="D610" s="3" t="e">
        <f t="shared" si="18"/>
        <v>#VALUE!</v>
      </c>
      <c r="E610" t="s">
        <v>1746</v>
      </c>
      <c r="F610" s="4">
        <f t="shared" si="19"/>
        <v>0.48749999999999999</v>
      </c>
      <c r="G610" t="s">
        <v>141</v>
      </c>
      <c r="H610" t="s">
        <v>123</v>
      </c>
      <c r="I610" t="s">
        <v>43</v>
      </c>
      <c r="J610" t="s">
        <v>94</v>
      </c>
      <c r="K610" t="s">
        <v>113</v>
      </c>
      <c r="L610" t="s">
        <v>376</v>
      </c>
      <c r="M610">
        <v>5</v>
      </c>
      <c r="N610">
        <v>5</v>
      </c>
      <c r="O610">
        <v>7</v>
      </c>
      <c r="P610">
        <v>7</v>
      </c>
      <c r="Q610">
        <v>9</v>
      </c>
      <c r="R610">
        <v>10</v>
      </c>
      <c r="S610" t="s">
        <v>69</v>
      </c>
      <c r="T610" t="s">
        <v>70</v>
      </c>
      <c r="U610" t="s">
        <v>65</v>
      </c>
      <c r="V610">
        <v>24</v>
      </c>
      <c r="W610" t="s">
        <v>38</v>
      </c>
      <c r="X610" t="s">
        <v>237</v>
      </c>
      <c r="Y610" t="s">
        <v>48</v>
      </c>
    </row>
    <row r="611" spans="1:25" x14ac:dyDescent="0.45">
      <c r="A611" t="s">
        <v>1747</v>
      </c>
      <c r="B611" t="s">
        <v>25</v>
      </c>
      <c r="C611" s="3" t="s">
        <v>1742</v>
      </c>
      <c r="D611" s="3" t="e">
        <f t="shared" si="18"/>
        <v>#VALUE!</v>
      </c>
      <c r="E611" t="s">
        <v>1748</v>
      </c>
      <c r="F611" s="4">
        <f t="shared" si="19"/>
        <v>0.83611111111111114</v>
      </c>
      <c r="G611" t="s">
        <v>789</v>
      </c>
      <c r="H611" t="s">
        <v>625</v>
      </c>
      <c r="I611" t="s">
        <v>31</v>
      </c>
      <c r="J611" t="s">
        <v>44</v>
      </c>
      <c r="K611" t="s">
        <v>45</v>
      </c>
      <c r="L611" t="s">
        <v>34</v>
      </c>
      <c r="M611">
        <v>8</v>
      </c>
      <c r="N611">
        <v>10</v>
      </c>
      <c r="O611">
        <v>10</v>
      </c>
      <c r="P611">
        <v>10</v>
      </c>
      <c r="Q611">
        <v>10</v>
      </c>
      <c r="R611">
        <v>10</v>
      </c>
      <c r="S611" t="s">
        <v>85</v>
      </c>
      <c r="T611" t="s">
        <v>70</v>
      </c>
      <c r="U611" t="s">
        <v>37</v>
      </c>
      <c r="V611">
        <v>29</v>
      </c>
      <c r="W611" t="s">
        <v>347</v>
      </c>
      <c r="X611" t="s">
        <v>237</v>
      </c>
      <c r="Y611" t="s">
        <v>91</v>
      </c>
    </row>
    <row r="612" spans="1:25" x14ac:dyDescent="0.45">
      <c r="A612" t="s">
        <v>1749</v>
      </c>
      <c r="B612" t="s">
        <v>25</v>
      </c>
      <c r="C612" s="3" t="s">
        <v>1750</v>
      </c>
      <c r="D612" s="3" t="e">
        <f t="shared" si="18"/>
        <v>#VALUE!</v>
      </c>
      <c r="E612" t="s">
        <v>1751</v>
      </c>
      <c r="F612" s="4">
        <f t="shared" si="19"/>
        <v>0.19444444444444445</v>
      </c>
      <c r="G612" t="s">
        <v>154</v>
      </c>
      <c r="H612" t="s">
        <v>123</v>
      </c>
      <c r="I612" t="s">
        <v>31</v>
      </c>
      <c r="J612" t="s">
        <v>53</v>
      </c>
      <c r="K612" t="s">
        <v>108</v>
      </c>
      <c r="L612" t="s">
        <v>34</v>
      </c>
      <c r="M612">
        <v>7</v>
      </c>
      <c r="N612">
        <v>8</v>
      </c>
      <c r="O612">
        <v>9</v>
      </c>
      <c r="P612">
        <v>8</v>
      </c>
      <c r="Q612">
        <v>9</v>
      </c>
      <c r="R612">
        <v>10</v>
      </c>
      <c r="S612" t="s">
        <v>69</v>
      </c>
      <c r="T612" t="s">
        <v>56</v>
      </c>
      <c r="U612" t="s">
        <v>37</v>
      </c>
      <c r="V612">
        <v>26</v>
      </c>
      <c r="W612" t="s">
        <v>1488</v>
      </c>
      <c r="X612" t="s">
        <v>237</v>
      </c>
      <c r="Y612" t="s">
        <v>48</v>
      </c>
    </row>
    <row r="613" spans="1:25" x14ac:dyDescent="0.45">
      <c r="A613" t="s">
        <v>1752</v>
      </c>
      <c r="B613" t="s">
        <v>25</v>
      </c>
      <c r="C613" s="3" t="s">
        <v>1750</v>
      </c>
      <c r="D613" s="3" t="e">
        <f t="shared" si="18"/>
        <v>#VALUE!</v>
      </c>
      <c r="E613" t="s">
        <v>1753</v>
      </c>
      <c r="F613" s="4">
        <f t="shared" si="19"/>
        <v>0.30902777777777779</v>
      </c>
      <c r="G613" t="s">
        <v>196</v>
      </c>
      <c r="H613" t="s">
        <v>123</v>
      </c>
      <c r="I613" t="s">
        <v>31</v>
      </c>
      <c r="J613" t="s">
        <v>53</v>
      </c>
      <c r="K613" t="s">
        <v>1754</v>
      </c>
      <c r="L613" t="s">
        <v>34</v>
      </c>
      <c r="M613">
        <v>3</v>
      </c>
      <c r="N613">
        <v>9</v>
      </c>
      <c r="O613">
        <v>9</v>
      </c>
      <c r="P613">
        <v>9</v>
      </c>
      <c r="Q613">
        <v>9</v>
      </c>
      <c r="R613">
        <v>9</v>
      </c>
      <c r="S613" t="s">
        <v>85</v>
      </c>
      <c r="T613" t="s">
        <v>70</v>
      </c>
      <c r="U613" t="s">
        <v>37</v>
      </c>
      <c r="V613">
        <v>20</v>
      </c>
      <c r="W613" t="s">
        <v>147</v>
      </c>
      <c r="X613" t="s">
        <v>227</v>
      </c>
      <c r="Y613" t="s">
        <v>48</v>
      </c>
    </row>
    <row r="614" spans="1:25" x14ac:dyDescent="0.45">
      <c r="A614" t="s">
        <v>1755</v>
      </c>
      <c r="B614" t="s">
        <v>25</v>
      </c>
      <c r="C614" s="3" t="s">
        <v>1750</v>
      </c>
      <c r="D614" s="3" t="e">
        <f t="shared" si="18"/>
        <v>#VALUE!</v>
      </c>
      <c r="E614" t="s">
        <v>1756</v>
      </c>
      <c r="F614" s="4">
        <f t="shared" si="19"/>
        <v>0.33402777777777776</v>
      </c>
      <c r="G614" t="s">
        <v>112</v>
      </c>
      <c r="H614" t="s">
        <v>30</v>
      </c>
      <c r="I614" t="s">
        <v>31</v>
      </c>
      <c r="J614" t="s">
        <v>53</v>
      </c>
      <c r="K614" t="s">
        <v>108</v>
      </c>
      <c r="L614" t="s">
        <v>34</v>
      </c>
      <c r="M614">
        <v>0</v>
      </c>
      <c r="N614">
        <v>2</v>
      </c>
      <c r="O614">
        <v>3</v>
      </c>
      <c r="P614">
        <v>2</v>
      </c>
      <c r="Q614">
        <v>4</v>
      </c>
      <c r="R614">
        <v>2</v>
      </c>
      <c r="S614" t="s">
        <v>85</v>
      </c>
      <c r="T614" t="s">
        <v>70</v>
      </c>
      <c r="U614" t="s">
        <v>37</v>
      </c>
      <c r="V614">
        <v>23</v>
      </c>
      <c r="W614" t="s">
        <v>147</v>
      </c>
      <c r="X614" t="s">
        <v>237</v>
      </c>
      <c r="Y614" t="s">
        <v>48</v>
      </c>
    </row>
    <row r="615" spans="1:25" x14ac:dyDescent="0.45">
      <c r="A615" t="s">
        <v>1757</v>
      </c>
      <c r="B615" t="s">
        <v>25</v>
      </c>
      <c r="C615" s="3" t="s">
        <v>1750</v>
      </c>
      <c r="D615" s="3" t="e">
        <f t="shared" si="18"/>
        <v>#VALUE!</v>
      </c>
      <c r="E615" t="s">
        <v>576</v>
      </c>
      <c r="F615" s="4">
        <f t="shared" si="19"/>
        <v>0.45347222222222222</v>
      </c>
      <c r="G615" t="s">
        <v>141</v>
      </c>
      <c r="H615" t="s">
        <v>30</v>
      </c>
      <c r="I615" t="s">
        <v>43</v>
      </c>
      <c r="J615" t="s">
        <v>32</v>
      </c>
      <c r="K615" t="s">
        <v>103</v>
      </c>
      <c r="L615" t="s">
        <v>34</v>
      </c>
      <c r="M615">
        <v>8</v>
      </c>
      <c r="N615">
        <v>8</v>
      </c>
      <c r="O615">
        <v>9</v>
      </c>
      <c r="P615">
        <v>8</v>
      </c>
      <c r="Q615">
        <v>7</v>
      </c>
      <c r="R615">
        <v>7</v>
      </c>
      <c r="S615" t="s">
        <v>85</v>
      </c>
      <c r="T615" t="s">
        <v>56</v>
      </c>
      <c r="U615" t="s">
        <v>37</v>
      </c>
      <c r="V615">
        <v>33</v>
      </c>
      <c r="W615" t="s">
        <v>38</v>
      </c>
      <c r="X615" t="s">
        <v>240</v>
      </c>
      <c r="Y615" t="s">
        <v>39</v>
      </c>
    </row>
    <row r="616" spans="1:25" x14ac:dyDescent="0.45">
      <c r="A616" t="s">
        <v>1758</v>
      </c>
      <c r="B616" t="s">
        <v>25</v>
      </c>
      <c r="C616" s="3" t="s">
        <v>1750</v>
      </c>
      <c r="D616" s="3" t="e">
        <f t="shared" si="18"/>
        <v>#VALUE!</v>
      </c>
      <c r="E616" t="s">
        <v>684</v>
      </c>
      <c r="F616" s="4">
        <f t="shared" si="19"/>
        <v>0.50277777777777777</v>
      </c>
      <c r="G616" t="s">
        <v>682</v>
      </c>
      <c r="H616" t="s">
        <v>123</v>
      </c>
      <c r="I616" t="s">
        <v>31</v>
      </c>
      <c r="J616" t="s">
        <v>53</v>
      </c>
      <c r="K616" t="s">
        <v>103</v>
      </c>
      <c r="L616" t="s">
        <v>34</v>
      </c>
      <c r="M616">
        <v>2</v>
      </c>
      <c r="N616">
        <v>3</v>
      </c>
      <c r="O616">
        <v>3</v>
      </c>
      <c r="P616">
        <v>5</v>
      </c>
      <c r="Q616">
        <v>5</v>
      </c>
      <c r="R616">
        <v>9</v>
      </c>
      <c r="S616" t="s">
        <v>55</v>
      </c>
      <c r="T616" t="s">
        <v>36</v>
      </c>
      <c r="U616" t="s">
        <v>37</v>
      </c>
      <c r="V616">
        <v>26</v>
      </c>
      <c r="W616" t="s">
        <v>57</v>
      </c>
      <c r="X616" t="s">
        <v>237</v>
      </c>
      <c r="Y616" t="s">
        <v>58</v>
      </c>
    </row>
    <row r="617" spans="1:25" x14ac:dyDescent="0.45">
      <c r="A617" t="s">
        <v>1759</v>
      </c>
      <c r="B617" t="s">
        <v>25</v>
      </c>
      <c r="C617" s="3" t="s">
        <v>1750</v>
      </c>
      <c r="D617" s="3" t="e">
        <f t="shared" si="18"/>
        <v>#VALUE!</v>
      </c>
      <c r="E617" t="s">
        <v>1269</v>
      </c>
      <c r="F617" s="4">
        <f t="shared" si="19"/>
        <v>0.53472222222222221</v>
      </c>
      <c r="G617" t="s">
        <v>452</v>
      </c>
      <c r="H617" t="s">
        <v>30</v>
      </c>
      <c r="I617" t="s">
        <v>31</v>
      </c>
      <c r="J617" t="s">
        <v>53</v>
      </c>
      <c r="K617" t="s">
        <v>393</v>
      </c>
      <c r="L617" t="s">
        <v>46</v>
      </c>
      <c r="M617">
        <v>3</v>
      </c>
      <c r="N617">
        <v>9</v>
      </c>
      <c r="O617">
        <v>8</v>
      </c>
      <c r="P617">
        <v>8</v>
      </c>
      <c r="Q617">
        <v>6</v>
      </c>
      <c r="R617">
        <v>6</v>
      </c>
      <c r="S617" t="s">
        <v>69</v>
      </c>
      <c r="T617" t="s">
        <v>70</v>
      </c>
      <c r="U617" t="s">
        <v>37</v>
      </c>
      <c r="V617">
        <v>27</v>
      </c>
      <c r="W617" t="s">
        <v>147</v>
      </c>
      <c r="X617" t="s">
        <v>237</v>
      </c>
      <c r="Y617" t="s">
        <v>48</v>
      </c>
    </row>
    <row r="618" spans="1:25" x14ac:dyDescent="0.45">
      <c r="A618" t="s">
        <v>1760</v>
      </c>
      <c r="B618" t="s">
        <v>25</v>
      </c>
      <c r="C618" s="3" t="s">
        <v>1750</v>
      </c>
      <c r="D618" s="3" t="e">
        <f t="shared" si="18"/>
        <v>#VALUE!</v>
      </c>
      <c r="E618" t="s">
        <v>1761</v>
      </c>
      <c r="F618" s="4">
        <f t="shared" si="19"/>
        <v>0.58125000000000004</v>
      </c>
      <c r="G618" t="s">
        <v>146</v>
      </c>
      <c r="H618" t="s">
        <v>123</v>
      </c>
      <c r="I618" t="s">
        <v>43</v>
      </c>
      <c r="J618" t="s">
        <v>53</v>
      </c>
      <c r="K618" t="s">
        <v>794</v>
      </c>
      <c r="L618" t="s">
        <v>187</v>
      </c>
      <c r="M618">
        <v>0</v>
      </c>
      <c r="N618">
        <v>8</v>
      </c>
      <c r="O618">
        <v>8</v>
      </c>
      <c r="P618">
        <v>8</v>
      </c>
      <c r="Q618">
        <v>8</v>
      </c>
      <c r="R618">
        <v>8</v>
      </c>
      <c r="S618" t="s">
        <v>85</v>
      </c>
      <c r="T618" t="s">
        <v>70</v>
      </c>
      <c r="U618" t="s">
        <v>37</v>
      </c>
      <c r="V618">
        <v>22</v>
      </c>
      <c r="W618" t="s">
        <v>1762</v>
      </c>
      <c r="X618" t="s">
        <v>237</v>
      </c>
      <c r="Y618" t="s">
        <v>48</v>
      </c>
    </row>
    <row r="619" spans="1:25" x14ac:dyDescent="0.45">
      <c r="A619" t="s">
        <v>1763</v>
      </c>
      <c r="B619" t="s">
        <v>25</v>
      </c>
      <c r="C619" s="3" t="s">
        <v>1750</v>
      </c>
      <c r="D619" s="3" t="e">
        <f t="shared" si="18"/>
        <v>#VALUE!</v>
      </c>
      <c r="E619" t="s">
        <v>1764</v>
      </c>
      <c r="F619" s="4">
        <f t="shared" si="19"/>
        <v>0.75694444444444442</v>
      </c>
      <c r="G619" t="s">
        <v>1225</v>
      </c>
      <c r="H619" t="s">
        <v>30</v>
      </c>
      <c r="I619" t="s">
        <v>31</v>
      </c>
      <c r="J619" t="s">
        <v>53</v>
      </c>
      <c r="K619" t="s">
        <v>103</v>
      </c>
      <c r="L619" t="s">
        <v>34</v>
      </c>
      <c r="M619">
        <v>3</v>
      </c>
      <c r="N619">
        <v>9</v>
      </c>
      <c r="O619">
        <v>9</v>
      </c>
      <c r="P619">
        <v>6</v>
      </c>
      <c r="Q619">
        <v>9</v>
      </c>
      <c r="R619">
        <v>4</v>
      </c>
      <c r="S619" t="s">
        <v>55</v>
      </c>
      <c r="T619" t="s">
        <v>70</v>
      </c>
      <c r="U619" t="s">
        <v>37</v>
      </c>
      <c r="V619">
        <v>23</v>
      </c>
      <c r="W619" t="s">
        <v>207</v>
      </c>
      <c r="X619" t="s">
        <v>240</v>
      </c>
      <c r="Y619" t="s">
        <v>39</v>
      </c>
    </row>
    <row r="620" spans="1:25" x14ac:dyDescent="0.45">
      <c r="A620" t="s">
        <v>1765</v>
      </c>
      <c r="B620" t="s">
        <v>25</v>
      </c>
      <c r="C620" s="3" t="s">
        <v>1766</v>
      </c>
      <c r="D620" s="3" t="e">
        <f t="shared" si="18"/>
        <v>#VALUE!</v>
      </c>
      <c r="E620" t="s">
        <v>1767</v>
      </c>
      <c r="F620" s="4">
        <f t="shared" si="19"/>
        <v>4.791666666666667E-2</v>
      </c>
      <c r="G620" t="s">
        <v>731</v>
      </c>
      <c r="H620" t="s">
        <v>1768</v>
      </c>
      <c r="I620" t="s">
        <v>31</v>
      </c>
      <c r="J620" t="s">
        <v>53</v>
      </c>
      <c r="K620" t="s">
        <v>1769</v>
      </c>
      <c r="L620" t="s">
        <v>34</v>
      </c>
      <c r="M620">
        <v>3</v>
      </c>
      <c r="N620">
        <v>6</v>
      </c>
      <c r="O620">
        <v>7</v>
      </c>
      <c r="P620">
        <v>5</v>
      </c>
      <c r="Q620">
        <v>4</v>
      </c>
      <c r="R620">
        <v>4</v>
      </c>
      <c r="S620" t="s">
        <v>85</v>
      </c>
      <c r="T620" t="s">
        <v>70</v>
      </c>
      <c r="U620" t="s">
        <v>37</v>
      </c>
      <c r="V620">
        <v>28</v>
      </c>
      <c r="W620" t="s">
        <v>347</v>
      </c>
      <c r="X620" t="s">
        <v>237</v>
      </c>
      <c r="Y620" t="s">
        <v>91</v>
      </c>
    </row>
    <row r="621" spans="1:25" x14ac:dyDescent="0.45">
      <c r="A621" t="s">
        <v>1770</v>
      </c>
      <c r="B621" t="s">
        <v>25</v>
      </c>
      <c r="C621" s="3" t="s">
        <v>1766</v>
      </c>
      <c r="D621" s="3" t="e">
        <f t="shared" si="18"/>
        <v>#VALUE!</v>
      </c>
      <c r="E621" t="s">
        <v>1771</v>
      </c>
      <c r="F621" s="4">
        <f t="shared" si="19"/>
        <v>0.11874999999999999</v>
      </c>
      <c r="G621" t="s">
        <v>181</v>
      </c>
      <c r="H621" t="s">
        <v>30</v>
      </c>
      <c r="I621" t="s">
        <v>43</v>
      </c>
      <c r="J621" t="s">
        <v>44</v>
      </c>
      <c r="K621" t="s">
        <v>45</v>
      </c>
      <c r="L621" t="s">
        <v>84</v>
      </c>
      <c r="M621">
        <v>7</v>
      </c>
      <c r="N621">
        <v>5</v>
      </c>
      <c r="O621">
        <v>4</v>
      </c>
      <c r="P621">
        <v>6</v>
      </c>
      <c r="Q621">
        <v>4</v>
      </c>
      <c r="R621">
        <v>5</v>
      </c>
      <c r="S621" t="s">
        <v>55</v>
      </c>
      <c r="T621" t="s">
        <v>56</v>
      </c>
      <c r="U621" t="s">
        <v>65</v>
      </c>
      <c r="V621">
        <v>39</v>
      </c>
      <c r="W621" t="s">
        <v>423</v>
      </c>
      <c r="X621" t="s">
        <v>240</v>
      </c>
      <c r="Y621" t="s">
        <v>39</v>
      </c>
    </row>
    <row r="622" spans="1:25" x14ac:dyDescent="0.45">
      <c r="A622" t="s">
        <v>1772</v>
      </c>
      <c r="B622" t="s">
        <v>25</v>
      </c>
      <c r="C622" s="3" t="s">
        <v>1766</v>
      </c>
      <c r="D622" s="3" t="e">
        <f t="shared" si="18"/>
        <v>#VALUE!</v>
      </c>
      <c r="E622" t="s">
        <v>1672</v>
      </c>
      <c r="F622" s="4">
        <f t="shared" si="19"/>
        <v>0.64861111111111114</v>
      </c>
      <c r="G622" t="s">
        <v>1335</v>
      </c>
      <c r="H622" t="s">
        <v>1773</v>
      </c>
      <c r="I622" t="s">
        <v>43</v>
      </c>
      <c r="J622" t="s">
        <v>32</v>
      </c>
      <c r="K622" t="s">
        <v>1774</v>
      </c>
      <c r="L622" t="s">
        <v>34</v>
      </c>
      <c r="M622">
        <v>3</v>
      </c>
      <c r="N622">
        <v>2</v>
      </c>
      <c r="O622">
        <v>5</v>
      </c>
      <c r="P622">
        <v>3</v>
      </c>
      <c r="Q622">
        <v>3</v>
      </c>
      <c r="R622">
        <v>4</v>
      </c>
      <c r="S622" t="s">
        <v>85</v>
      </c>
      <c r="T622" t="s">
        <v>70</v>
      </c>
      <c r="U622" t="s">
        <v>37</v>
      </c>
      <c r="V622">
        <v>37</v>
      </c>
      <c r="W622" t="s">
        <v>38</v>
      </c>
      <c r="X622" t="s">
        <v>240</v>
      </c>
      <c r="Y622" t="s">
        <v>39</v>
      </c>
    </row>
    <row r="623" spans="1:25" x14ac:dyDescent="0.45">
      <c r="A623" t="s">
        <v>1775</v>
      </c>
      <c r="B623" t="s">
        <v>25</v>
      </c>
      <c r="C623" s="3" t="s">
        <v>1766</v>
      </c>
      <c r="D623" s="3" t="e">
        <f t="shared" si="18"/>
        <v>#VALUE!</v>
      </c>
      <c r="E623" t="s">
        <v>1776</v>
      </c>
      <c r="F623" s="4">
        <f t="shared" si="19"/>
        <v>0.89375000000000004</v>
      </c>
      <c r="G623" t="s">
        <v>186</v>
      </c>
      <c r="H623" t="s">
        <v>790</v>
      </c>
      <c r="I623" t="s">
        <v>31</v>
      </c>
      <c r="J623" t="s">
        <v>44</v>
      </c>
      <c r="K623" t="s">
        <v>108</v>
      </c>
      <c r="L623" t="s">
        <v>84</v>
      </c>
      <c r="M623">
        <v>4</v>
      </c>
      <c r="N623">
        <v>7</v>
      </c>
      <c r="O623">
        <v>7</v>
      </c>
      <c r="P623">
        <v>7</v>
      </c>
      <c r="Q623">
        <v>7</v>
      </c>
      <c r="R623">
        <v>7</v>
      </c>
      <c r="S623" t="s">
        <v>69</v>
      </c>
      <c r="T623" t="s">
        <v>70</v>
      </c>
      <c r="U623" t="s">
        <v>65</v>
      </c>
      <c r="V623">
        <v>29</v>
      </c>
      <c r="W623" t="s">
        <v>38</v>
      </c>
      <c r="X623" t="s">
        <v>240</v>
      </c>
      <c r="Y623" t="s">
        <v>39</v>
      </c>
    </row>
    <row r="624" spans="1:25" x14ac:dyDescent="0.45">
      <c r="A624" t="s">
        <v>1777</v>
      </c>
      <c r="B624" t="s">
        <v>25</v>
      </c>
      <c r="C624" s="3" t="s">
        <v>1778</v>
      </c>
      <c r="D624" s="3" t="e">
        <f t="shared" si="18"/>
        <v>#VALUE!</v>
      </c>
      <c r="E624" t="s">
        <v>1779</v>
      </c>
      <c r="F624" s="4">
        <f t="shared" si="19"/>
        <v>0.25694444444444442</v>
      </c>
      <c r="G624" t="s">
        <v>112</v>
      </c>
      <c r="H624" t="s">
        <v>30</v>
      </c>
      <c r="I624" t="s">
        <v>31</v>
      </c>
      <c r="J624" t="s">
        <v>32</v>
      </c>
      <c r="K624" t="s">
        <v>45</v>
      </c>
      <c r="L624" t="s">
        <v>34</v>
      </c>
      <c r="M624">
        <v>5</v>
      </c>
      <c r="N624">
        <v>6</v>
      </c>
      <c r="O624">
        <v>6</v>
      </c>
      <c r="P624">
        <v>5</v>
      </c>
      <c r="Q624">
        <v>4</v>
      </c>
      <c r="R624">
        <v>3</v>
      </c>
      <c r="S624" t="s">
        <v>55</v>
      </c>
      <c r="T624" t="s">
        <v>56</v>
      </c>
      <c r="U624" t="s">
        <v>37</v>
      </c>
      <c r="V624">
        <v>42</v>
      </c>
      <c r="W624" t="s">
        <v>38</v>
      </c>
      <c r="X624" t="s">
        <v>240</v>
      </c>
      <c r="Y624" t="s">
        <v>39</v>
      </c>
    </row>
    <row r="625" spans="1:25" x14ac:dyDescent="0.45">
      <c r="A625" t="s">
        <v>1780</v>
      </c>
      <c r="B625" t="s">
        <v>25</v>
      </c>
      <c r="C625" s="3" t="s">
        <v>1778</v>
      </c>
      <c r="D625" s="3" t="e">
        <f t="shared" si="18"/>
        <v>#VALUE!</v>
      </c>
      <c r="E625" t="s">
        <v>1781</v>
      </c>
      <c r="F625" s="4">
        <f t="shared" si="19"/>
        <v>0.56458333333333333</v>
      </c>
      <c r="G625" t="s">
        <v>215</v>
      </c>
      <c r="H625" t="s">
        <v>123</v>
      </c>
      <c r="I625" t="s">
        <v>43</v>
      </c>
      <c r="J625" t="s">
        <v>53</v>
      </c>
      <c r="K625" t="s">
        <v>103</v>
      </c>
      <c r="L625" t="s">
        <v>46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85</v>
      </c>
      <c r="T625" t="s">
        <v>114</v>
      </c>
      <c r="U625" t="s">
        <v>65</v>
      </c>
      <c r="V625">
        <v>25</v>
      </c>
      <c r="W625" t="s">
        <v>47</v>
      </c>
      <c r="X625" t="s">
        <v>237</v>
      </c>
      <c r="Y625" t="s">
        <v>48</v>
      </c>
    </row>
    <row r="626" spans="1:25" x14ac:dyDescent="0.45">
      <c r="A626" t="s">
        <v>1782</v>
      </c>
      <c r="B626" t="s">
        <v>25</v>
      </c>
      <c r="C626" s="3" t="s">
        <v>1783</v>
      </c>
      <c r="D626" s="3" t="e">
        <f t="shared" si="18"/>
        <v>#VALUE!</v>
      </c>
      <c r="E626" t="s">
        <v>1784</v>
      </c>
      <c r="F626" s="4">
        <f t="shared" si="19"/>
        <v>0.26944444444444443</v>
      </c>
      <c r="G626" t="s">
        <v>154</v>
      </c>
      <c r="H626" t="s">
        <v>790</v>
      </c>
      <c r="I626" t="s">
        <v>31</v>
      </c>
      <c r="J626" t="s">
        <v>53</v>
      </c>
      <c r="K626" t="s">
        <v>90</v>
      </c>
      <c r="L626" t="s">
        <v>34</v>
      </c>
      <c r="M626">
        <v>5</v>
      </c>
      <c r="N626">
        <v>5</v>
      </c>
      <c r="O626">
        <v>5</v>
      </c>
      <c r="P626">
        <v>5</v>
      </c>
      <c r="Q626">
        <v>4</v>
      </c>
      <c r="R626">
        <v>5</v>
      </c>
      <c r="S626" t="s">
        <v>55</v>
      </c>
      <c r="T626" t="s">
        <v>70</v>
      </c>
      <c r="U626" t="s">
        <v>37</v>
      </c>
      <c r="V626">
        <v>66</v>
      </c>
      <c r="W626" t="s">
        <v>1785</v>
      </c>
      <c r="X626" t="s">
        <v>227</v>
      </c>
      <c r="Y626" t="s">
        <v>58</v>
      </c>
    </row>
    <row r="627" spans="1:25" x14ac:dyDescent="0.45">
      <c r="A627" t="s">
        <v>1786</v>
      </c>
      <c r="B627" t="s">
        <v>25</v>
      </c>
      <c r="C627" s="3" t="s">
        <v>1783</v>
      </c>
      <c r="D627" s="3" t="e">
        <f t="shared" si="18"/>
        <v>#VALUE!</v>
      </c>
      <c r="E627" t="s">
        <v>1787</v>
      </c>
      <c r="F627" s="4">
        <f t="shared" si="19"/>
        <v>0.94791666666666663</v>
      </c>
      <c r="G627" t="s">
        <v>1563</v>
      </c>
      <c r="H627" t="s">
        <v>30</v>
      </c>
      <c r="I627" t="s">
        <v>31</v>
      </c>
      <c r="J627" t="s">
        <v>82</v>
      </c>
      <c r="K627" t="s">
        <v>83</v>
      </c>
      <c r="L627" t="s">
        <v>46</v>
      </c>
      <c r="M627">
        <v>8</v>
      </c>
      <c r="N627">
        <v>5</v>
      </c>
      <c r="O627">
        <v>6</v>
      </c>
      <c r="P627">
        <v>6</v>
      </c>
      <c r="Q627">
        <v>5</v>
      </c>
      <c r="R627">
        <v>7</v>
      </c>
      <c r="S627" t="s">
        <v>55</v>
      </c>
      <c r="T627" t="s">
        <v>70</v>
      </c>
      <c r="U627" t="s">
        <v>37</v>
      </c>
      <c r="V627">
        <v>26</v>
      </c>
      <c r="W627" t="s">
        <v>38</v>
      </c>
      <c r="X627" t="s">
        <v>237</v>
      </c>
      <c r="Y627" t="s">
        <v>39</v>
      </c>
    </row>
    <row r="628" spans="1:25" x14ac:dyDescent="0.45">
      <c r="A628" t="s">
        <v>1788</v>
      </c>
      <c r="B628" t="s">
        <v>25</v>
      </c>
      <c r="C628" s="3" t="s">
        <v>1789</v>
      </c>
      <c r="D628" s="3" t="e">
        <f t="shared" si="18"/>
        <v>#VALUE!</v>
      </c>
      <c r="E628" t="s">
        <v>1790</v>
      </c>
      <c r="F628" s="4">
        <f t="shared" si="19"/>
        <v>0.32291666666666669</v>
      </c>
      <c r="G628" t="s">
        <v>1242</v>
      </c>
      <c r="H628" t="s">
        <v>1791</v>
      </c>
      <c r="I628" t="s">
        <v>43</v>
      </c>
      <c r="J628" t="s">
        <v>53</v>
      </c>
      <c r="K628" t="s">
        <v>491</v>
      </c>
      <c r="L628" t="s">
        <v>46</v>
      </c>
      <c r="M628">
        <v>4</v>
      </c>
      <c r="N628">
        <v>6</v>
      </c>
      <c r="O628">
        <v>7</v>
      </c>
      <c r="P628">
        <v>7</v>
      </c>
      <c r="Q628">
        <v>4</v>
      </c>
      <c r="R628">
        <v>6</v>
      </c>
      <c r="S628" t="s">
        <v>69</v>
      </c>
      <c r="T628" t="s">
        <v>70</v>
      </c>
      <c r="U628" t="s">
        <v>37</v>
      </c>
      <c r="V628">
        <v>21</v>
      </c>
      <c r="W628" t="s">
        <v>38</v>
      </c>
      <c r="X628" t="s">
        <v>237</v>
      </c>
      <c r="Y628" t="s">
        <v>39</v>
      </c>
    </row>
    <row r="629" spans="1:25" x14ac:dyDescent="0.45">
      <c r="A629" t="s">
        <v>1792</v>
      </c>
      <c r="B629" t="s">
        <v>25</v>
      </c>
      <c r="C629" s="3" t="s">
        <v>1793</v>
      </c>
      <c r="D629" s="3" t="e">
        <f t="shared" si="18"/>
        <v>#VALUE!</v>
      </c>
      <c r="E629" t="s">
        <v>418</v>
      </c>
      <c r="F629" s="4">
        <f t="shared" si="19"/>
        <v>0.40347222222222223</v>
      </c>
      <c r="G629" t="s">
        <v>1794</v>
      </c>
      <c r="H629" t="s">
        <v>123</v>
      </c>
      <c r="I629" t="s">
        <v>31</v>
      </c>
      <c r="J629" t="s">
        <v>53</v>
      </c>
      <c r="K629" t="s">
        <v>103</v>
      </c>
      <c r="L629" t="s">
        <v>34</v>
      </c>
      <c r="M629">
        <v>1</v>
      </c>
      <c r="N629">
        <v>2</v>
      </c>
      <c r="O629">
        <v>1</v>
      </c>
      <c r="P629">
        <v>2</v>
      </c>
      <c r="Q629">
        <v>1</v>
      </c>
      <c r="R629">
        <v>2</v>
      </c>
      <c r="S629" t="s">
        <v>69</v>
      </c>
      <c r="T629" t="s">
        <v>70</v>
      </c>
      <c r="U629" t="s">
        <v>37</v>
      </c>
      <c r="V629">
        <v>26</v>
      </c>
      <c r="W629" t="s">
        <v>1795</v>
      </c>
      <c r="X629" t="s">
        <v>237</v>
      </c>
      <c r="Y629" t="s">
        <v>48</v>
      </c>
    </row>
    <row r="630" spans="1:25" x14ac:dyDescent="0.45">
      <c r="A630" t="s">
        <v>1796</v>
      </c>
      <c r="B630" t="s">
        <v>25</v>
      </c>
      <c r="C630" s="3" t="s">
        <v>1793</v>
      </c>
      <c r="D630" s="3" t="e">
        <f t="shared" si="18"/>
        <v>#VALUE!</v>
      </c>
      <c r="E630" t="s">
        <v>1331</v>
      </c>
      <c r="F630" s="4">
        <f t="shared" si="19"/>
        <v>0.79583333333333328</v>
      </c>
      <c r="G630" t="s">
        <v>313</v>
      </c>
      <c r="H630" t="s">
        <v>52</v>
      </c>
      <c r="I630" t="s">
        <v>43</v>
      </c>
      <c r="J630" t="s">
        <v>53</v>
      </c>
      <c r="K630" t="s">
        <v>103</v>
      </c>
      <c r="L630" t="s">
        <v>34</v>
      </c>
      <c r="M630">
        <v>6</v>
      </c>
      <c r="N630">
        <v>6</v>
      </c>
      <c r="O630">
        <v>6</v>
      </c>
      <c r="P630">
        <v>6</v>
      </c>
      <c r="Q630">
        <v>4</v>
      </c>
      <c r="R630">
        <v>3</v>
      </c>
      <c r="S630" t="s">
        <v>55</v>
      </c>
      <c r="T630" t="s">
        <v>1797</v>
      </c>
      <c r="U630" t="s">
        <v>37</v>
      </c>
      <c r="V630">
        <v>24</v>
      </c>
      <c r="W630" t="s">
        <v>403</v>
      </c>
      <c r="X630" t="s">
        <v>237</v>
      </c>
      <c r="Y630" t="s">
        <v>91</v>
      </c>
    </row>
    <row r="631" spans="1:25" x14ac:dyDescent="0.45">
      <c r="A631" t="s">
        <v>1798</v>
      </c>
      <c r="B631" t="s">
        <v>25</v>
      </c>
      <c r="C631" s="3" t="s">
        <v>1799</v>
      </c>
      <c r="D631" s="3" t="e">
        <f t="shared" si="18"/>
        <v>#VALUE!</v>
      </c>
      <c r="E631" t="s">
        <v>730</v>
      </c>
      <c r="F631" s="4">
        <f t="shared" si="19"/>
        <v>0.54027777777777775</v>
      </c>
      <c r="G631" t="s">
        <v>322</v>
      </c>
      <c r="H631" t="s">
        <v>30</v>
      </c>
      <c r="I631" t="s">
        <v>43</v>
      </c>
      <c r="J631" t="s">
        <v>44</v>
      </c>
      <c r="K631" t="s">
        <v>178</v>
      </c>
      <c r="L631" t="s">
        <v>34</v>
      </c>
      <c r="M631">
        <v>8</v>
      </c>
      <c r="N631">
        <v>7</v>
      </c>
      <c r="O631">
        <v>6</v>
      </c>
      <c r="P631">
        <v>7</v>
      </c>
      <c r="Q631">
        <v>6</v>
      </c>
      <c r="R631">
        <v>8</v>
      </c>
      <c r="S631" t="s">
        <v>55</v>
      </c>
      <c r="T631" t="s">
        <v>36</v>
      </c>
      <c r="U631" t="s">
        <v>37</v>
      </c>
      <c r="V631">
        <v>22</v>
      </c>
      <c r="W631" t="s">
        <v>38</v>
      </c>
      <c r="X631" t="s">
        <v>237</v>
      </c>
      <c r="Y631" t="s">
        <v>48</v>
      </c>
    </row>
  </sheetData>
  <autoFilter ref="A1:Y1" xr:uid="{00000000-0001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1F25-4E5C-4A03-86AA-3F7FA672FA76}">
  <dimension ref="A1:AF631"/>
  <sheetViews>
    <sheetView tabSelected="1" topLeftCell="H1" zoomScaleNormal="100" workbookViewId="0">
      <pane ySplit="1" topLeftCell="A2" activePane="bottomLeft" state="frozen"/>
      <selection pane="bottomLeft" activeCell="F1" sqref="F1"/>
    </sheetView>
  </sheetViews>
  <sheetFormatPr defaultRowHeight="14.25" x14ac:dyDescent="0.45"/>
  <cols>
    <col min="1" max="1" width="24.796875" bestFit="1" customWidth="1"/>
    <col min="2" max="2" width="9.796875" bestFit="1" customWidth="1"/>
    <col min="3" max="3" width="31.265625" style="3" bestFit="1" customWidth="1"/>
    <col min="4" max="4" width="13.46484375" style="3" bestFit="1" customWidth="1"/>
    <col min="5" max="5" width="31.46484375" bestFit="1" customWidth="1"/>
    <col min="6" max="6" width="13.6640625" bestFit="1" customWidth="1"/>
    <col min="7" max="7" width="13.53125" bestFit="1" customWidth="1"/>
    <col min="8" max="8" width="86.46484375" bestFit="1" customWidth="1"/>
    <col min="9" max="9" width="16.59765625" bestFit="1" customWidth="1"/>
    <col min="10" max="10" width="15.53125" bestFit="1" customWidth="1"/>
    <col min="11" max="11" width="32.53125" bestFit="1" customWidth="1"/>
    <col min="12" max="12" width="30.1328125" bestFit="1" customWidth="1"/>
    <col min="13" max="13" width="81.9296875" bestFit="1" customWidth="1"/>
    <col min="14" max="14" width="16.265625" bestFit="1" customWidth="1"/>
    <col min="15" max="15" width="191.1328125" bestFit="1" customWidth="1"/>
    <col min="16" max="16" width="26.796875" bestFit="1" customWidth="1"/>
    <col min="17" max="17" width="67.73046875" bestFit="1" customWidth="1"/>
    <col min="18" max="18" width="77.86328125" bestFit="1" customWidth="1"/>
    <col min="19" max="19" width="71.59765625" bestFit="1" customWidth="1"/>
    <col min="20" max="20" width="73.86328125" bestFit="1" customWidth="1"/>
    <col min="21" max="21" width="76.796875" bestFit="1" customWidth="1"/>
    <col min="22" max="22" width="79.9296875" bestFit="1" customWidth="1"/>
    <col min="23" max="23" width="46.796875" bestFit="1" customWidth="1"/>
    <col min="24" max="24" width="146.796875" bestFit="1" customWidth="1"/>
    <col min="25" max="25" width="19.9296875" bestFit="1" customWidth="1"/>
    <col min="26" max="26" width="19.06640625" bestFit="1" customWidth="1"/>
    <col min="27" max="27" width="42.9296875" bestFit="1" customWidth="1"/>
    <col min="28" max="28" width="13.53125" bestFit="1" customWidth="1"/>
    <col min="29" max="29" width="30.9296875" bestFit="1" customWidth="1"/>
    <col min="30" max="30" width="30.9296875" customWidth="1"/>
    <col min="31" max="31" width="65.53125" bestFit="1" customWidth="1"/>
    <col min="32" max="32" width="33.1328125" bestFit="1" customWidth="1"/>
  </cols>
  <sheetData>
    <row r="1" spans="1:32" s="1" customFormat="1" ht="30" customHeight="1" x14ac:dyDescent="0.45">
      <c r="A1" s="1" t="s">
        <v>0</v>
      </c>
      <c r="B1" s="1" t="s">
        <v>1</v>
      </c>
      <c r="C1" s="2" t="s">
        <v>2</v>
      </c>
      <c r="D1" s="6" t="s">
        <v>1801</v>
      </c>
      <c r="E1" s="1" t="s">
        <v>3</v>
      </c>
      <c r="F1" s="5" t="s">
        <v>1800</v>
      </c>
      <c r="G1" s="1" t="s">
        <v>5</v>
      </c>
      <c r="H1" s="1" t="s">
        <v>6</v>
      </c>
      <c r="I1" s="5" t="s">
        <v>1802</v>
      </c>
      <c r="J1" s="5" t="s">
        <v>1803</v>
      </c>
      <c r="K1" s="1" t="s">
        <v>8</v>
      </c>
      <c r="L1" s="5" t="s">
        <v>1804</v>
      </c>
      <c r="M1" s="1" t="s">
        <v>9</v>
      </c>
      <c r="N1" s="1" t="s">
        <v>1805</v>
      </c>
      <c r="O1" s="1" t="s">
        <v>10</v>
      </c>
      <c r="P1" s="1" t="s">
        <v>1806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5" t="s">
        <v>4</v>
      </c>
      <c r="AC1" s="1" t="s">
        <v>22</v>
      </c>
      <c r="AD1" s="5" t="s">
        <v>108</v>
      </c>
      <c r="AE1" s="1" t="s">
        <v>23</v>
      </c>
      <c r="AF1" s="5" t="s">
        <v>1807</v>
      </c>
    </row>
    <row r="2" spans="1:32" x14ac:dyDescent="0.45">
      <c r="A2" t="s">
        <v>24</v>
      </c>
      <c r="B2" t="s">
        <v>25</v>
      </c>
      <c r="C2" s="3" t="s">
        <v>26</v>
      </c>
      <c r="D2" s="3">
        <f>DATEVALUE(C2)</f>
        <v>44840</v>
      </c>
      <c r="E2" t="s">
        <v>27</v>
      </c>
      <c r="F2" s="4">
        <f>TIMEVALUE(E2)</f>
        <v>0.35972222222222222</v>
      </c>
      <c r="G2" t="s">
        <v>29</v>
      </c>
      <c r="H2" t="s">
        <v>30</v>
      </c>
      <c r="I2" t="str">
        <f>IF(LEFT(H2,5)="Other","Other",IF(ISNUMBER(SEARCH("None",H2)),"None",H2))</f>
        <v>Data Analyst</v>
      </c>
      <c r="J2" t="s">
        <v>31</v>
      </c>
      <c r="K2" t="s">
        <v>32</v>
      </c>
      <c r="L2">
        <f>(VALUE(SUBSTITUTE(LEFT(K2,FIND("-",K2)-1),"k","")) + VALUE(SUBSTITUTE(MID(K2,FIND("-",K2)+1,LEN(K2)),"k","")))/2</f>
        <v>115.5</v>
      </c>
      <c r="M2" t="s">
        <v>33</v>
      </c>
      <c r="N2" t="str">
        <f>IF(LEFT(M2,5)="Other","Other",IF(ISNUMBER(SEARCH("None",M2)),"None",M2))</f>
        <v>Healthcare</v>
      </c>
      <c r="O2" t="s">
        <v>34</v>
      </c>
      <c r="P2" t="str">
        <f>IF(LEFT(O2,5)="Other","Other",IF(ISNUMBER(SEARCH("None",O2)),"None",O2))</f>
        <v>Python</v>
      </c>
      <c r="Q2">
        <v>9</v>
      </c>
      <c r="R2">
        <v>9</v>
      </c>
      <c r="S2">
        <v>7</v>
      </c>
      <c r="T2">
        <v>5</v>
      </c>
      <c r="U2">
        <v>5</v>
      </c>
      <c r="V2">
        <v>7</v>
      </c>
      <c r="W2" t="s">
        <v>35</v>
      </c>
      <c r="X2" t="s">
        <v>36</v>
      </c>
      <c r="Y2" t="s">
        <v>37</v>
      </c>
      <c r="Z2">
        <v>26</v>
      </c>
      <c r="AA2" t="s">
        <v>38</v>
      </c>
      <c r="AB2" t="str">
        <f>IF(LEFT(AA2,5)="Other","Other",IF(ISNUMBER(SEARCH("None",AA2)),"None",AA2))</f>
        <v>United States</v>
      </c>
      <c r="AC2" t="s">
        <v>28</v>
      </c>
      <c r="AD2" t="str">
        <f>IF(AC2="","none",AC2)</f>
        <v>none</v>
      </c>
      <c r="AE2" t="s">
        <v>39</v>
      </c>
      <c r="AF2" t="str">
        <f>IF(LEFT(AE2,5)="Other","Other",IF(ISNUMBER(SEARCH("None",AE2)),"None",AE2))</f>
        <v>White or Caucasian</v>
      </c>
    </row>
    <row r="3" spans="1:32" x14ac:dyDescent="0.45">
      <c r="A3" t="s">
        <v>40</v>
      </c>
      <c r="B3" t="s">
        <v>25</v>
      </c>
      <c r="C3" s="3" t="s">
        <v>26</v>
      </c>
      <c r="D3" s="3">
        <f t="shared" ref="D3:D66" si="0">DATEVALUE(C3)</f>
        <v>44840</v>
      </c>
      <c r="E3" t="s">
        <v>41</v>
      </c>
      <c r="F3" s="4">
        <f t="shared" ref="F3:F66" si="1">TIMEVALUE(E3)</f>
        <v>0.3611111111111111</v>
      </c>
      <c r="G3" t="s">
        <v>42</v>
      </c>
      <c r="H3" t="s">
        <v>30</v>
      </c>
      <c r="I3" t="str">
        <f t="shared" ref="I3:I66" si="2">IF(LEFT(H3,5)="Other","Other",IF(ISNUMBER(SEARCH("None",H3)),"None",H3))</f>
        <v>Data Analyst</v>
      </c>
      <c r="J3" t="s">
        <v>43</v>
      </c>
      <c r="K3" t="s">
        <v>44</v>
      </c>
      <c r="L3">
        <f t="shared" ref="L3:L66" si="3">(VALUE(SUBSTITUTE(LEFT(K3,FIND("-",K3)-1),"k","")) + VALUE(SUBSTITUTE(MID(K3,FIND("-",K3)+1,LEN(K3)),"k","")))/2</f>
        <v>53</v>
      </c>
      <c r="M3" t="s">
        <v>45</v>
      </c>
      <c r="N3" t="str">
        <f t="shared" ref="N3:N66" si="4">IF(LEFT(M3,5)="Other","Other",IF(ISNUMBER(SEARCH("None",M3)),"None",M3))</f>
        <v>Finance</v>
      </c>
      <c r="O3" t="s">
        <v>46</v>
      </c>
      <c r="P3" t="str">
        <f t="shared" ref="P3:P66" si="5">IF(LEFT(O3,5)="Other","Other",IF(ISNUMBER(SEARCH("None",O3)),"None",O3))</f>
        <v>R</v>
      </c>
      <c r="Q3">
        <v>1</v>
      </c>
      <c r="R3">
        <v>2</v>
      </c>
      <c r="S3">
        <v>5</v>
      </c>
      <c r="T3">
        <v>2</v>
      </c>
      <c r="U3">
        <v>1</v>
      </c>
      <c r="V3">
        <v>3</v>
      </c>
      <c r="W3" t="s">
        <v>35</v>
      </c>
      <c r="X3" t="s">
        <v>36</v>
      </c>
      <c r="Y3" t="s">
        <v>37</v>
      </c>
      <c r="Z3">
        <v>36</v>
      </c>
      <c r="AA3" t="s">
        <v>47</v>
      </c>
      <c r="AB3" t="str">
        <f t="shared" ref="AB3:AB66" si="6">IF(LEFT(AA3,5)="Other","Other",IF(ISNUMBER(SEARCH("None",AA3)),"None",AA3))</f>
        <v>Canada</v>
      </c>
      <c r="AC3" t="s">
        <v>28</v>
      </c>
      <c r="AD3" t="str">
        <f t="shared" ref="AD3:AD66" si="7">IF(AC3="","none",AC3)</f>
        <v>none</v>
      </c>
      <c r="AE3" t="s">
        <v>48</v>
      </c>
      <c r="AF3" t="str">
        <f t="shared" ref="AF3:AF66" si="8">IF(LEFT(AE3,5)="Other","Other",IF(ISNUMBER(SEARCH("None",AE3)),"None",AE3))</f>
        <v>Asian or Asian American</v>
      </c>
    </row>
    <row r="4" spans="1:32" x14ac:dyDescent="0.45">
      <c r="A4" t="s">
        <v>49</v>
      </c>
      <c r="B4" t="s">
        <v>25</v>
      </c>
      <c r="C4" s="3" t="s">
        <v>26</v>
      </c>
      <c r="D4" s="3">
        <f t="shared" si="0"/>
        <v>44840</v>
      </c>
      <c r="E4" t="s">
        <v>50</v>
      </c>
      <c r="F4" s="4">
        <f t="shared" si="1"/>
        <v>0.36249999999999999</v>
      </c>
      <c r="G4" t="s">
        <v>51</v>
      </c>
      <c r="H4" t="s">
        <v>52</v>
      </c>
      <c r="I4" t="str">
        <f t="shared" si="2"/>
        <v>Data Engineer</v>
      </c>
      <c r="J4" t="s">
        <v>43</v>
      </c>
      <c r="K4" t="s">
        <v>53</v>
      </c>
      <c r="L4">
        <f t="shared" si="3"/>
        <v>20</v>
      </c>
      <c r="M4" t="s">
        <v>54</v>
      </c>
      <c r="N4" t="str">
        <f t="shared" si="4"/>
        <v>Other</v>
      </c>
      <c r="O4" t="s">
        <v>34</v>
      </c>
      <c r="P4" t="str">
        <f t="shared" si="5"/>
        <v>Python</v>
      </c>
      <c r="Q4">
        <v>0</v>
      </c>
      <c r="R4">
        <v>8</v>
      </c>
      <c r="S4">
        <v>7</v>
      </c>
      <c r="T4">
        <v>5</v>
      </c>
      <c r="U4">
        <v>7</v>
      </c>
      <c r="V4">
        <v>7</v>
      </c>
      <c r="W4" t="s">
        <v>55</v>
      </c>
      <c r="X4" t="s">
        <v>56</v>
      </c>
      <c r="Y4" t="s">
        <v>37</v>
      </c>
      <c r="Z4">
        <v>23</v>
      </c>
      <c r="AA4" t="s">
        <v>57</v>
      </c>
      <c r="AB4" t="str">
        <f t="shared" si="6"/>
        <v>Other</v>
      </c>
      <c r="AC4" t="s">
        <v>28</v>
      </c>
      <c r="AD4" t="str">
        <f t="shared" si="7"/>
        <v>none</v>
      </c>
      <c r="AE4" t="s">
        <v>58</v>
      </c>
      <c r="AF4" t="str">
        <f t="shared" si="8"/>
        <v>Black or African American</v>
      </c>
    </row>
    <row r="5" spans="1:32" x14ac:dyDescent="0.45">
      <c r="A5" t="s">
        <v>59</v>
      </c>
      <c r="B5" t="s">
        <v>25</v>
      </c>
      <c r="C5" s="3" t="s">
        <v>26</v>
      </c>
      <c r="D5" s="3">
        <f t="shared" si="0"/>
        <v>44840</v>
      </c>
      <c r="E5" t="s">
        <v>60</v>
      </c>
      <c r="F5" s="4">
        <f t="shared" si="1"/>
        <v>0.36319444444444443</v>
      </c>
      <c r="G5" t="s">
        <v>61</v>
      </c>
      <c r="H5" t="s">
        <v>62</v>
      </c>
      <c r="I5" t="str">
        <f t="shared" si="2"/>
        <v>Other</v>
      </c>
      <c r="J5" t="s">
        <v>31</v>
      </c>
      <c r="K5" t="s">
        <v>63</v>
      </c>
      <c r="L5">
        <f t="shared" si="3"/>
        <v>187.5</v>
      </c>
      <c r="M5" t="s">
        <v>45</v>
      </c>
      <c r="N5" t="str">
        <f t="shared" si="4"/>
        <v>Finance</v>
      </c>
      <c r="O5" t="s">
        <v>46</v>
      </c>
      <c r="P5" t="str">
        <f t="shared" si="5"/>
        <v>R</v>
      </c>
      <c r="Q5">
        <v>10</v>
      </c>
      <c r="R5">
        <v>6</v>
      </c>
      <c r="S5">
        <v>7</v>
      </c>
      <c r="T5">
        <v>10</v>
      </c>
      <c r="U5">
        <v>7</v>
      </c>
      <c r="V5">
        <v>10</v>
      </c>
      <c r="W5" t="s">
        <v>64</v>
      </c>
      <c r="X5" t="s">
        <v>36</v>
      </c>
      <c r="Y5" t="s">
        <v>65</v>
      </c>
      <c r="Z5">
        <v>35</v>
      </c>
      <c r="AA5" t="s">
        <v>47</v>
      </c>
      <c r="AB5" t="str">
        <f t="shared" si="6"/>
        <v>Canada</v>
      </c>
      <c r="AC5" t="s">
        <v>28</v>
      </c>
      <c r="AD5" t="str">
        <f t="shared" si="7"/>
        <v>none</v>
      </c>
      <c r="AE5" t="s">
        <v>39</v>
      </c>
      <c r="AF5" t="str">
        <f t="shared" si="8"/>
        <v>White or Caucasian</v>
      </c>
    </row>
    <row r="6" spans="1:32" x14ac:dyDescent="0.45">
      <c r="A6" t="s">
        <v>66</v>
      </c>
      <c r="B6" t="s">
        <v>25</v>
      </c>
      <c r="C6" s="3" t="s">
        <v>26</v>
      </c>
      <c r="D6" s="3">
        <f t="shared" si="0"/>
        <v>44840</v>
      </c>
      <c r="E6" t="s">
        <v>67</v>
      </c>
      <c r="F6" s="4">
        <f t="shared" si="1"/>
        <v>0.36388888888888887</v>
      </c>
      <c r="G6" t="s">
        <v>68</v>
      </c>
      <c r="H6" t="s">
        <v>30</v>
      </c>
      <c r="I6" t="str">
        <f t="shared" si="2"/>
        <v>Data Analyst</v>
      </c>
      <c r="J6" t="s">
        <v>31</v>
      </c>
      <c r="K6" t="s">
        <v>44</v>
      </c>
      <c r="L6">
        <f t="shared" si="3"/>
        <v>53</v>
      </c>
      <c r="M6" t="s">
        <v>33</v>
      </c>
      <c r="N6" t="str">
        <f t="shared" si="4"/>
        <v>Healthcare</v>
      </c>
      <c r="O6" t="s">
        <v>46</v>
      </c>
      <c r="P6" t="str">
        <f t="shared" si="5"/>
        <v>R</v>
      </c>
      <c r="Q6">
        <v>1</v>
      </c>
      <c r="R6">
        <v>4</v>
      </c>
      <c r="S6">
        <v>4</v>
      </c>
      <c r="T6">
        <v>4</v>
      </c>
      <c r="U6">
        <v>0</v>
      </c>
      <c r="V6">
        <v>1</v>
      </c>
      <c r="W6" t="s">
        <v>69</v>
      </c>
      <c r="X6" t="s">
        <v>70</v>
      </c>
      <c r="Y6" t="s">
        <v>37</v>
      </c>
      <c r="Z6">
        <v>44</v>
      </c>
      <c r="AA6" t="s">
        <v>38</v>
      </c>
      <c r="AB6" t="str">
        <f t="shared" si="6"/>
        <v>United States</v>
      </c>
      <c r="AC6" t="s">
        <v>28</v>
      </c>
      <c r="AD6" t="str">
        <f t="shared" si="7"/>
        <v>none</v>
      </c>
      <c r="AE6" t="s">
        <v>58</v>
      </c>
      <c r="AF6" t="str">
        <f t="shared" si="8"/>
        <v>Black or African American</v>
      </c>
    </row>
    <row r="7" spans="1:32" x14ac:dyDescent="0.45">
      <c r="A7" t="s">
        <v>71</v>
      </c>
      <c r="B7" t="s">
        <v>25</v>
      </c>
      <c r="C7" s="3" t="s">
        <v>26</v>
      </c>
      <c r="D7" s="3">
        <f t="shared" si="0"/>
        <v>44840</v>
      </c>
      <c r="E7" t="s">
        <v>67</v>
      </c>
      <c r="F7" s="4">
        <f t="shared" si="1"/>
        <v>0.36388888888888887</v>
      </c>
      <c r="G7" t="s">
        <v>72</v>
      </c>
      <c r="H7" t="s">
        <v>30</v>
      </c>
      <c r="I7" t="str">
        <f t="shared" si="2"/>
        <v>Data Analyst</v>
      </c>
      <c r="J7" t="s">
        <v>31</v>
      </c>
      <c r="K7" t="s">
        <v>53</v>
      </c>
      <c r="L7">
        <f t="shared" si="3"/>
        <v>20</v>
      </c>
      <c r="M7" t="s">
        <v>73</v>
      </c>
      <c r="N7" t="str">
        <f t="shared" si="4"/>
        <v>Other</v>
      </c>
      <c r="O7" t="s">
        <v>34</v>
      </c>
      <c r="P7" t="str">
        <f t="shared" si="5"/>
        <v>Python</v>
      </c>
      <c r="Q7">
        <v>2</v>
      </c>
      <c r="R7">
        <v>3</v>
      </c>
      <c r="S7">
        <v>3</v>
      </c>
      <c r="T7">
        <v>3</v>
      </c>
      <c r="U7">
        <v>3</v>
      </c>
      <c r="V7">
        <v>2</v>
      </c>
      <c r="W7" t="s">
        <v>69</v>
      </c>
      <c r="X7" t="s">
        <v>56</v>
      </c>
      <c r="Y7" t="s">
        <v>37</v>
      </c>
      <c r="Z7">
        <v>33</v>
      </c>
      <c r="AA7" t="s">
        <v>74</v>
      </c>
      <c r="AB7" t="str">
        <f t="shared" si="6"/>
        <v>Other</v>
      </c>
      <c r="AC7" t="s">
        <v>28</v>
      </c>
      <c r="AD7" t="str">
        <f t="shared" si="7"/>
        <v>none</v>
      </c>
      <c r="AE7" t="s">
        <v>58</v>
      </c>
      <c r="AF7" t="str">
        <f t="shared" si="8"/>
        <v>Black or African American</v>
      </c>
    </row>
    <row r="8" spans="1:32" x14ac:dyDescent="0.45">
      <c r="A8" t="s">
        <v>75</v>
      </c>
      <c r="B8" t="s">
        <v>25</v>
      </c>
      <c r="C8" s="3" t="s">
        <v>26</v>
      </c>
      <c r="D8" s="3">
        <f t="shared" si="0"/>
        <v>44840</v>
      </c>
      <c r="E8" t="s">
        <v>67</v>
      </c>
      <c r="F8" s="4">
        <f t="shared" si="1"/>
        <v>0.36388888888888887</v>
      </c>
      <c r="G8" t="s">
        <v>76</v>
      </c>
      <c r="H8" t="s">
        <v>77</v>
      </c>
      <c r="I8" t="str">
        <f t="shared" si="2"/>
        <v>Data Scientist</v>
      </c>
      <c r="J8" t="s">
        <v>31</v>
      </c>
      <c r="K8" t="s">
        <v>53</v>
      </c>
      <c r="L8">
        <f t="shared" si="3"/>
        <v>20</v>
      </c>
      <c r="M8" t="s">
        <v>45</v>
      </c>
      <c r="N8" t="str">
        <f t="shared" si="4"/>
        <v>Finance</v>
      </c>
      <c r="O8" t="s">
        <v>34</v>
      </c>
      <c r="P8" t="str">
        <f t="shared" si="5"/>
        <v>Python</v>
      </c>
      <c r="Q8">
        <v>0</v>
      </c>
      <c r="R8">
        <v>6</v>
      </c>
      <c r="S8">
        <v>6</v>
      </c>
      <c r="T8">
        <v>6</v>
      </c>
      <c r="U8">
        <v>6</v>
      </c>
      <c r="V8">
        <v>5</v>
      </c>
      <c r="W8" t="s">
        <v>69</v>
      </c>
      <c r="X8" t="s">
        <v>70</v>
      </c>
      <c r="Y8" t="s">
        <v>37</v>
      </c>
      <c r="Z8">
        <v>24</v>
      </c>
      <c r="AA8" t="s">
        <v>78</v>
      </c>
      <c r="AB8" t="str">
        <f t="shared" si="6"/>
        <v>Other</v>
      </c>
      <c r="AC8" t="s">
        <v>28</v>
      </c>
      <c r="AD8" t="str">
        <f t="shared" si="7"/>
        <v>none</v>
      </c>
      <c r="AE8" t="s">
        <v>58</v>
      </c>
      <c r="AF8" t="str">
        <f t="shared" si="8"/>
        <v>Black or African American</v>
      </c>
    </row>
    <row r="9" spans="1:32" x14ac:dyDescent="0.45">
      <c r="A9" t="s">
        <v>79</v>
      </c>
      <c r="B9" t="s">
        <v>25</v>
      </c>
      <c r="C9" s="3" t="s">
        <v>26</v>
      </c>
      <c r="D9" s="3">
        <f t="shared" si="0"/>
        <v>44840</v>
      </c>
      <c r="E9" t="s">
        <v>80</v>
      </c>
      <c r="F9" s="4">
        <f t="shared" si="1"/>
        <v>0.36458333333333331</v>
      </c>
      <c r="G9" t="s">
        <v>81</v>
      </c>
      <c r="H9" t="s">
        <v>52</v>
      </c>
      <c r="I9" t="str">
        <f t="shared" si="2"/>
        <v>Data Engineer</v>
      </c>
      <c r="J9" t="s">
        <v>31</v>
      </c>
      <c r="K9" t="s">
        <v>82</v>
      </c>
      <c r="L9">
        <f t="shared" si="3"/>
        <v>137.5</v>
      </c>
      <c r="M9" t="s">
        <v>83</v>
      </c>
      <c r="N9" t="str">
        <f t="shared" si="4"/>
        <v>Other</v>
      </c>
      <c r="O9" t="s">
        <v>84</v>
      </c>
      <c r="P9" t="str">
        <f t="shared" si="5"/>
        <v>Other</v>
      </c>
      <c r="Q9">
        <v>10</v>
      </c>
      <c r="R9">
        <v>5</v>
      </c>
      <c r="S9">
        <v>5</v>
      </c>
      <c r="T9">
        <v>5</v>
      </c>
      <c r="U9">
        <v>5</v>
      </c>
      <c r="V9">
        <v>9</v>
      </c>
      <c r="W9" t="s">
        <v>85</v>
      </c>
      <c r="X9" t="s">
        <v>36</v>
      </c>
      <c r="Y9" t="s">
        <v>37</v>
      </c>
      <c r="Z9">
        <v>35</v>
      </c>
      <c r="AA9" t="s">
        <v>38</v>
      </c>
      <c r="AB9" t="str">
        <f t="shared" si="6"/>
        <v>United States</v>
      </c>
      <c r="AC9" t="s">
        <v>28</v>
      </c>
      <c r="AD9" t="str">
        <f t="shared" si="7"/>
        <v>none</v>
      </c>
      <c r="AE9" t="s">
        <v>48</v>
      </c>
      <c r="AF9" t="str">
        <f t="shared" si="8"/>
        <v>Asian or Asian American</v>
      </c>
    </row>
    <row r="10" spans="1:32" x14ac:dyDescent="0.45">
      <c r="A10" t="s">
        <v>86</v>
      </c>
      <c r="B10" t="s">
        <v>25</v>
      </c>
      <c r="C10" s="3" t="s">
        <v>26</v>
      </c>
      <c r="D10" s="3">
        <f t="shared" si="0"/>
        <v>44840</v>
      </c>
      <c r="E10" t="s">
        <v>80</v>
      </c>
      <c r="F10" s="4">
        <f t="shared" si="1"/>
        <v>0.36458333333333331</v>
      </c>
      <c r="G10" t="s">
        <v>61</v>
      </c>
      <c r="H10" t="s">
        <v>30</v>
      </c>
      <c r="I10" t="str">
        <f t="shared" si="2"/>
        <v>Data Analyst</v>
      </c>
      <c r="J10" t="s">
        <v>31</v>
      </c>
      <c r="K10" t="s">
        <v>87</v>
      </c>
      <c r="L10">
        <f t="shared" si="3"/>
        <v>95.5</v>
      </c>
      <c r="M10" t="s">
        <v>33</v>
      </c>
      <c r="N10" t="str">
        <f t="shared" si="4"/>
        <v>Healthcare</v>
      </c>
      <c r="O10" t="s">
        <v>46</v>
      </c>
      <c r="P10" t="str">
        <f t="shared" si="5"/>
        <v>R</v>
      </c>
      <c r="Q10">
        <v>4</v>
      </c>
      <c r="R10">
        <v>4</v>
      </c>
      <c r="S10">
        <v>4</v>
      </c>
      <c r="T10">
        <v>4</v>
      </c>
      <c r="U10">
        <v>5</v>
      </c>
      <c r="V10">
        <v>5</v>
      </c>
      <c r="W10" t="s">
        <v>85</v>
      </c>
      <c r="X10" t="s">
        <v>70</v>
      </c>
      <c r="Y10" t="s">
        <v>37</v>
      </c>
      <c r="Z10">
        <v>35</v>
      </c>
      <c r="AA10" t="s">
        <v>38</v>
      </c>
      <c r="AB10" t="str">
        <f t="shared" si="6"/>
        <v>United States</v>
      </c>
      <c r="AC10" t="s">
        <v>28</v>
      </c>
      <c r="AD10" t="str">
        <f t="shared" si="7"/>
        <v>none</v>
      </c>
      <c r="AE10" t="s">
        <v>48</v>
      </c>
      <c r="AF10" t="str">
        <f t="shared" si="8"/>
        <v>Asian or Asian American</v>
      </c>
    </row>
    <row r="11" spans="1:32" x14ac:dyDescent="0.45">
      <c r="A11" t="s">
        <v>88</v>
      </c>
      <c r="B11" t="s">
        <v>25</v>
      </c>
      <c r="C11" s="3" t="s">
        <v>26</v>
      </c>
      <c r="D11" s="3">
        <f t="shared" si="0"/>
        <v>44840</v>
      </c>
      <c r="E11" t="s">
        <v>80</v>
      </c>
      <c r="F11" s="4">
        <f t="shared" si="1"/>
        <v>0.36458333333333331</v>
      </c>
      <c r="G11" t="s">
        <v>89</v>
      </c>
      <c r="H11" t="s">
        <v>30</v>
      </c>
      <c r="I11" t="str">
        <f t="shared" si="2"/>
        <v>Data Analyst</v>
      </c>
      <c r="J11" t="s">
        <v>31</v>
      </c>
      <c r="K11" t="s">
        <v>44</v>
      </c>
      <c r="L11">
        <f t="shared" si="3"/>
        <v>53</v>
      </c>
      <c r="M11" t="s">
        <v>90</v>
      </c>
      <c r="N11" t="str">
        <f t="shared" si="4"/>
        <v>Telecommunication</v>
      </c>
      <c r="O11" t="s">
        <v>34</v>
      </c>
      <c r="P11" t="str">
        <f t="shared" si="5"/>
        <v>Python</v>
      </c>
      <c r="Q11">
        <v>2</v>
      </c>
      <c r="R11">
        <v>0</v>
      </c>
      <c r="S11">
        <v>3</v>
      </c>
      <c r="T11">
        <v>3</v>
      </c>
      <c r="U11">
        <v>0</v>
      </c>
      <c r="V11">
        <v>4</v>
      </c>
      <c r="W11" t="s">
        <v>35</v>
      </c>
      <c r="X11" t="s">
        <v>70</v>
      </c>
      <c r="Y11" t="s">
        <v>37</v>
      </c>
      <c r="Z11">
        <v>28</v>
      </c>
      <c r="AA11" t="s">
        <v>38</v>
      </c>
      <c r="AB11" t="str">
        <f t="shared" si="6"/>
        <v>United States</v>
      </c>
      <c r="AC11" t="s">
        <v>28</v>
      </c>
      <c r="AD11" t="str">
        <f t="shared" si="7"/>
        <v>none</v>
      </c>
      <c r="AE11" t="s">
        <v>91</v>
      </c>
      <c r="AF11" t="str">
        <f t="shared" si="8"/>
        <v>Hispanic or Latino</v>
      </c>
    </row>
    <row r="12" spans="1:32" x14ac:dyDescent="0.45">
      <c r="A12" t="s">
        <v>92</v>
      </c>
      <c r="B12" t="s">
        <v>25</v>
      </c>
      <c r="C12" s="3" t="s">
        <v>26</v>
      </c>
      <c r="D12" s="3">
        <f t="shared" si="0"/>
        <v>44840</v>
      </c>
      <c r="E12" t="s">
        <v>80</v>
      </c>
      <c r="F12" s="4">
        <f t="shared" si="1"/>
        <v>0.36458333333333331</v>
      </c>
      <c r="G12" t="s">
        <v>93</v>
      </c>
      <c r="H12" t="s">
        <v>30</v>
      </c>
      <c r="I12" t="str">
        <f t="shared" si="2"/>
        <v>Data Analyst</v>
      </c>
      <c r="J12" t="s">
        <v>31</v>
      </c>
      <c r="K12" t="s">
        <v>94</v>
      </c>
      <c r="L12">
        <f t="shared" si="3"/>
        <v>75.5</v>
      </c>
      <c r="M12" t="s">
        <v>95</v>
      </c>
      <c r="N12" t="str">
        <f t="shared" si="4"/>
        <v>Other</v>
      </c>
      <c r="O12" t="s">
        <v>34</v>
      </c>
      <c r="P12" t="str">
        <f t="shared" si="5"/>
        <v>Python</v>
      </c>
      <c r="Q12">
        <v>10</v>
      </c>
      <c r="R12">
        <v>10</v>
      </c>
      <c r="S12">
        <v>8</v>
      </c>
      <c r="T12">
        <v>8</v>
      </c>
      <c r="U12">
        <v>8</v>
      </c>
      <c r="V12">
        <v>10</v>
      </c>
      <c r="W12" t="s">
        <v>85</v>
      </c>
      <c r="X12" t="s">
        <v>36</v>
      </c>
      <c r="Y12" t="s">
        <v>37</v>
      </c>
      <c r="Z12">
        <v>37</v>
      </c>
      <c r="AA12" t="s">
        <v>47</v>
      </c>
      <c r="AB12" t="str">
        <f t="shared" si="6"/>
        <v>Canada</v>
      </c>
      <c r="AC12" t="s">
        <v>28</v>
      </c>
      <c r="AD12" t="str">
        <f t="shared" si="7"/>
        <v>none</v>
      </c>
      <c r="AE12" t="s">
        <v>39</v>
      </c>
      <c r="AF12" t="str">
        <f t="shared" si="8"/>
        <v>White or Caucasian</v>
      </c>
    </row>
    <row r="13" spans="1:32" x14ac:dyDescent="0.45">
      <c r="A13" t="s">
        <v>96</v>
      </c>
      <c r="B13" t="s">
        <v>25</v>
      </c>
      <c r="C13" s="3" t="s">
        <v>26</v>
      </c>
      <c r="D13" s="3">
        <f t="shared" si="0"/>
        <v>44840</v>
      </c>
      <c r="E13" t="s">
        <v>80</v>
      </c>
      <c r="F13" s="4">
        <f t="shared" si="1"/>
        <v>0.36458333333333331</v>
      </c>
      <c r="G13" t="s">
        <v>97</v>
      </c>
      <c r="H13" t="s">
        <v>30</v>
      </c>
      <c r="I13" t="str">
        <f t="shared" si="2"/>
        <v>Data Analyst</v>
      </c>
      <c r="J13" t="s">
        <v>31</v>
      </c>
      <c r="K13" t="s">
        <v>53</v>
      </c>
      <c r="L13">
        <f t="shared" si="3"/>
        <v>20</v>
      </c>
      <c r="M13" t="s">
        <v>98</v>
      </c>
      <c r="N13" t="str">
        <f t="shared" si="4"/>
        <v>Other</v>
      </c>
      <c r="O13" t="s">
        <v>34</v>
      </c>
      <c r="P13" t="str">
        <f t="shared" si="5"/>
        <v>Python</v>
      </c>
      <c r="Q13">
        <v>3</v>
      </c>
      <c r="R13">
        <v>8</v>
      </c>
      <c r="S13">
        <v>10</v>
      </c>
      <c r="T13">
        <v>10</v>
      </c>
      <c r="U13">
        <v>7</v>
      </c>
      <c r="V13">
        <v>8</v>
      </c>
      <c r="W13" t="s">
        <v>85</v>
      </c>
      <c r="X13" t="s">
        <v>70</v>
      </c>
      <c r="Y13" t="s">
        <v>37</v>
      </c>
      <c r="Z13">
        <v>32</v>
      </c>
      <c r="AA13" t="s">
        <v>99</v>
      </c>
      <c r="AB13" t="str">
        <f t="shared" si="6"/>
        <v>Other</v>
      </c>
      <c r="AC13" t="s">
        <v>28</v>
      </c>
      <c r="AD13" t="str">
        <f t="shared" si="7"/>
        <v>none</v>
      </c>
      <c r="AE13" t="s">
        <v>39</v>
      </c>
      <c r="AF13" t="str">
        <f t="shared" si="8"/>
        <v>White or Caucasian</v>
      </c>
    </row>
    <row r="14" spans="1:32" x14ac:dyDescent="0.45">
      <c r="A14" t="s">
        <v>100</v>
      </c>
      <c r="B14" t="s">
        <v>25</v>
      </c>
      <c r="C14" s="3" t="s">
        <v>26</v>
      </c>
      <c r="D14" s="3">
        <f t="shared" si="0"/>
        <v>44840</v>
      </c>
      <c r="E14" t="s">
        <v>101</v>
      </c>
      <c r="F14" s="4">
        <f t="shared" si="1"/>
        <v>0.36527777777777776</v>
      </c>
      <c r="G14" t="s">
        <v>102</v>
      </c>
      <c r="H14" t="s">
        <v>30</v>
      </c>
      <c r="I14" t="str">
        <f t="shared" si="2"/>
        <v>Data Analyst</v>
      </c>
      <c r="J14" t="s">
        <v>31</v>
      </c>
      <c r="K14" t="s">
        <v>53</v>
      </c>
      <c r="L14">
        <f t="shared" si="3"/>
        <v>20</v>
      </c>
      <c r="M14" t="s">
        <v>103</v>
      </c>
      <c r="N14" t="str">
        <f t="shared" si="4"/>
        <v>Tech</v>
      </c>
      <c r="O14" t="s">
        <v>46</v>
      </c>
      <c r="P14" t="str">
        <f t="shared" si="5"/>
        <v>R</v>
      </c>
      <c r="Q14">
        <v>1</v>
      </c>
      <c r="R14">
        <v>10</v>
      </c>
      <c r="S14">
        <v>9</v>
      </c>
      <c r="T14">
        <v>9</v>
      </c>
      <c r="U14">
        <v>5</v>
      </c>
      <c r="V14">
        <v>10</v>
      </c>
      <c r="W14" t="s">
        <v>85</v>
      </c>
      <c r="X14" t="s">
        <v>70</v>
      </c>
      <c r="Y14" t="s">
        <v>37</v>
      </c>
      <c r="Z14">
        <v>34</v>
      </c>
      <c r="AA14" t="s">
        <v>104</v>
      </c>
      <c r="AB14" t="str">
        <f t="shared" si="6"/>
        <v>Other</v>
      </c>
      <c r="AC14" t="s">
        <v>28</v>
      </c>
      <c r="AD14" t="str">
        <f t="shared" si="7"/>
        <v>none</v>
      </c>
      <c r="AE14" t="s">
        <v>105</v>
      </c>
      <c r="AF14" t="str">
        <f t="shared" si="8"/>
        <v>Other</v>
      </c>
    </row>
    <row r="15" spans="1:32" x14ac:dyDescent="0.45">
      <c r="A15" t="s">
        <v>106</v>
      </c>
      <c r="B15" t="s">
        <v>25</v>
      </c>
      <c r="C15" s="3" t="s">
        <v>26</v>
      </c>
      <c r="D15" s="3">
        <f t="shared" si="0"/>
        <v>44840</v>
      </c>
      <c r="E15" t="s">
        <v>101</v>
      </c>
      <c r="F15" s="4">
        <f t="shared" si="1"/>
        <v>0.36527777777777776</v>
      </c>
      <c r="G15" t="s">
        <v>107</v>
      </c>
      <c r="H15" t="s">
        <v>77</v>
      </c>
      <c r="I15" t="str">
        <f t="shared" si="2"/>
        <v>Data Scientist</v>
      </c>
      <c r="J15" t="s">
        <v>31</v>
      </c>
      <c r="K15" t="s">
        <v>53</v>
      </c>
      <c r="L15">
        <f t="shared" si="3"/>
        <v>20</v>
      </c>
      <c r="M15" t="s">
        <v>108</v>
      </c>
      <c r="N15" t="str">
        <f t="shared" si="4"/>
        <v>Education</v>
      </c>
      <c r="O15" t="s">
        <v>34</v>
      </c>
      <c r="P15" t="str">
        <f t="shared" si="5"/>
        <v>Python</v>
      </c>
      <c r="Q15">
        <v>3</v>
      </c>
      <c r="R15">
        <v>10</v>
      </c>
      <c r="S15">
        <v>10</v>
      </c>
      <c r="T15">
        <v>6</v>
      </c>
      <c r="U15">
        <v>7</v>
      </c>
      <c r="V15">
        <v>8</v>
      </c>
      <c r="W15" t="s">
        <v>55</v>
      </c>
      <c r="X15" t="s">
        <v>56</v>
      </c>
      <c r="Y15" t="s">
        <v>37</v>
      </c>
      <c r="Z15">
        <v>30</v>
      </c>
      <c r="AA15" t="s">
        <v>109</v>
      </c>
      <c r="AB15" t="str">
        <f t="shared" si="6"/>
        <v>United Kingdom</v>
      </c>
      <c r="AC15" t="s">
        <v>28</v>
      </c>
      <c r="AD15" t="str">
        <f t="shared" si="7"/>
        <v>none</v>
      </c>
      <c r="AE15" t="s">
        <v>39</v>
      </c>
      <c r="AF15" t="str">
        <f t="shared" si="8"/>
        <v>White or Caucasian</v>
      </c>
    </row>
    <row r="16" spans="1:32" x14ac:dyDescent="0.45">
      <c r="A16" t="s">
        <v>110</v>
      </c>
      <c r="B16" t="s">
        <v>25</v>
      </c>
      <c r="C16" s="3" t="s">
        <v>26</v>
      </c>
      <c r="D16" s="3">
        <f t="shared" si="0"/>
        <v>44840</v>
      </c>
      <c r="E16" t="s">
        <v>111</v>
      </c>
      <c r="F16" s="4">
        <f t="shared" si="1"/>
        <v>0.3659722222222222</v>
      </c>
      <c r="G16" t="s">
        <v>112</v>
      </c>
      <c r="H16" t="s">
        <v>30</v>
      </c>
      <c r="I16" t="str">
        <f t="shared" si="2"/>
        <v>Data Analyst</v>
      </c>
      <c r="J16" t="s">
        <v>43</v>
      </c>
      <c r="K16" t="s">
        <v>44</v>
      </c>
      <c r="L16">
        <f t="shared" si="3"/>
        <v>53</v>
      </c>
      <c r="M16" t="s">
        <v>113</v>
      </c>
      <c r="N16" t="str">
        <f t="shared" si="4"/>
        <v>Construction</v>
      </c>
      <c r="O16" t="s">
        <v>46</v>
      </c>
      <c r="P16" t="str">
        <f t="shared" si="5"/>
        <v>R</v>
      </c>
      <c r="Q16">
        <v>4</v>
      </c>
      <c r="R16">
        <v>5</v>
      </c>
      <c r="S16">
        <v>5</v>
      </c>
      <c r="T16">
        <v>5</v>
      </c>
      <c r="U16">
        <v>4</v>
      </c>
      <c r="V16">
        <v>5</v>
      </c>
      <c r="W16" t="s">
        <v>85</v>
      </c>
      <c r="X16" t="s">
        <v>114</v>
      </c>
      <c r="Y16" t="s">
        <v>37</v>
      </c>
      <c r="Z16">
        <v>31</v>
      </c>
      <c r="AA16" t="s">
        <v>38</v>
      </c>
      <c r="AB16" t="str">
        <f t="shared" si="6"/>
        <v>United States</v>
      </c>
      <c r="AC16" t="s">
        <v>28</v>
      </c>
      <c r="AD16" t="str">
        <f t="shared" si="7"/>
        <v>none</v>
      </c>
      <c r="AE16" t="s">
        <v>39</v>
      </c>
      <c r="AF16" t="str">
        <f t="shared" si="8"/>
        <v>White or Caucasian</v>
      </c>
    </row>
    <row r="17" spans="1:32" x14ac:dyDescent="0.45">
      <c r="A17" t="s">
        <v>115</v>
      </c>
      <c r="B17" t="s">
        <v>25</v>
      </c>
      <c r="C17" s="3" t="s">
        <v>26</v>
      </c>
      <c r="D17" s="3">
        <f t="shared" si="0"/>
        <v>44840</v>
      </c>
      <c r="E17" t="s">
        <v>111</v>
      </c>
      <c r="F17" s="4">
        <f t="shared" si="1"/>
        <v>0.3659722222222222</v>
      </c>
      <c r="G17" t="s">
        <v>116</v>
      </c>
      <c r="H17" t="s">
        <v>30</v>
      </c>
      <c r="I17" t="str">
        <f t="shared" si="2"/>
        <v>Data Analyst</v>
      </c>
      <c r="J17" t="s">
        <v>31</v>
      </c>
      <c r="K17" t="s">
        <v>44</v>
      </c>
      <c r="L17">
        <f t="shared" si="3"/>
        <v>53</v>
      </c>
      <c r="M17" t="s">
        <v>45</v>
      </c>
      <c r="N17" t="str">
        <f t="shared" si="4"/>
        <v>Finance</v>
      </c>
      <c r="O17" t="s">
        <v>34</v>
      </c>
      <c r="P17" t="str">
        <f t="shared" si="5"/>
        <v>Python</v>
      </c>
      <c r="Q17">
        <v>4</v>
      </c>
      <c r="R17">
        <v>10</v>
      </c>
      <c r="S17">
        <v>7</v>
      </c>
      <c r="T17">
        <v>7</v>
      </c>
      <c r="U17">
        <v>7</v>
      </c>
      <c r="V17">
        <v>5</v>
      </c>
      <c r="W17" t="s">
        <v>69</v>
      </c>
      <c r="X17" t="s">
        <v>114</v>
      </c>
      <c r="Y17" t="s">
        <v>37</v>
      </c>
      <c r="Z17">
        <v>29</v>
      </c>
      <c r="AA17" t="s">
        <v>38</v>
      </c>
      <c r="AB17" t="str">
        <f t="shared" si="6"/>
        <v>United States</v>
      </c>
      <c r="AC17" t="s">
        <v>28</v>
      </c>
      <c r="AD17" t="str">
        <f t="shared" si="7"/>
        <v>none</v>
      </c>
      <c r="AE17" t="s">
        <v>39</v>
      </c>
      <c r="AF17" t="str">
        <f t="shared" si="8"/>
        <v>White or Caucasian</v>
      </c>
    </row>
    <row r="18" spans="1:32" x14ac:dyDescent="0.45">
      <c r="A18" t="s">
        <v>117</v>
      </c>
      <c r="B18" t="s">
        <v>25</v>
      </c>
      <c r="C18" s="3" t="s">
        <v>26</v>
      </c>
      <c r="D18" s="3">
        <f t="shared" si="0"/>
        <v>44840</v>
      </c>
      <c r="E18" t="s">
        <v>118</v>
      </c>
      <c r="F18" s="4">
        <f t="shared" si="1"/>
        <v>0.36666666666666664</v>
      </c>
      <c r="G18" t="s">
        <v>119</v>
      </c>
      <c r="H18" t="s">
        <v>30</v>
      </c>
      <c r="I18" t="str">
        <f t="shared" si="2"/>
        <v>Data Analyst</v>
      </c>
      <c r="J18" t="s">
        <v>31</v>
      </c>
      <c r="K18" t="s">
        <v>53</v>
      </c>
      <c r="L18">
        <f t="shared" si="3"/>
        <v>20</v>
      </c>
      <c r="M18" t="s">
        <v>103</v>
      </c>
      <c r="N18" t="str">
        <f t="shared" si="4"/>
        <v>Tech</v>
      </c>
      <c r="O18" t="s">
        <v>34</v>
      </c>
      <c r="P18" t="str">
        <f t="shared" si="5"/>
        <v>Python</v>
      </c>
      <c r="Q18">
        <v>1</v>
      </c>
      <c r="R18">
        <v>2</v>
      </c>
      <c r="S18">
        <v>4</v>
      </c>
      <c r="T18">
        <v>2</v>
      </c>
      <c r="U18">
        <v>2</v>
      </c>
      <c r="V18">
        <v>2</v>
      </c>
      <c r="W18" t="s">
        <v>85</v>
      </c>
      <c r="X18" t="s">
        <v>70</v>
      </c>
      <c r="Y18" t="s">
        <v>37</v>
      </c>
      <c r="Z18">
        <v>22</v>
      </c>
      <c r="AA18" t="s">
        <v>120</v>
      </c>
      <c r="AB18" t="str">
        <f t="shared" si="6"/>
        <v>Other</v>
      </c>
      <c r="AC18" t="s">
        <v>28</v>
      </c>
      <c r="AD18" t="str">
        <f t="shared" si="7"/>
        <v>none</v>
      </c>
      <c r="AE18" t="s">
        <v>58</v>
      </c>
      <c r="AF18" t="str">
        <f t="shared" si="8"/>
        <v>Black or African American</v>
      </c>
    </row>
    <row r="19" spans="1:32" x14ac:dyDescent="0.45">
      <c r="A19" t="s">
        <v>121</v>
      </c>
      <c r="B19" t="s">
        <v>25</v>
      </c>
      <c r="C19" s="3" t="s">
        <v>26</v>
      </c>
      <c r="D19" s="3">
        <f t="shared" si="0"/>
        <v>44840</v>
      </c>
      <c r="E19" t="s">
        <v>118</v>
      </c>
      <c r="F19" s="4">
        <f t="shared" si="1"/>
        <v>0.36666666666666664</v>
      </c>
      <c r="G19" t="s">
        <v>122</v>
      </c>
      <c r="H19" t="s">
        <v>123</v>
      </c>
      <c r="I19" t="str">
        <f t="shared" si="2"/>
        <v>None</v>
      </c>
      <c r="J19" t="s">
        <v>31</v>
      </c>
      <c r="K19" t="s">
        <v>53</v>
      </c>
      <c r="L19">
        <f t="shared" si="3"/>
        <v>20</v>
      </c>
      <c r="M19" t="s">
        <v>83</v>
      </c>
      <c r="N19" t="str">
        <f t="shared" si="4"/>
        <v>Other</v>
      </c>
      <c r="O19" t="s">
        <v>34</v>
      </c>
      <c r="P19" t="str">
        <f t="shared" si="5"/>
        <v>Python</v>
      </c>
      <c r="Q19">
        <v>1</v>
      </c>
      <c r="R19">
        <v>3</v>
      </c>
      <c r="S19">
        <v>2</v>
      </c>
      <c r="T19">
        <v>2</v>
      </c>
      <c r="U19">
        <v>4</v>
      </c>
      <c r="V19">
        <v>1</v>
      </c>
      <c r="W19" t="s">
        <v>69</v>
      </c>
      <c r="X19" t="s">
        <v>70</v>
      </c>
      <c r="Y19" t="s">
        <v>37</v>
      </c>
      <c r="Z19">
        <v>23</v>
      </c>
      <c r="AA19" t="s">
        <v>38</v>
      </c>
      <c r="AB19" t="str">
        <f t="shared" si="6"/>
        <v>United States</v>
      </c>
      <c r="AC19" t="s">
        <v>28</v>
      </c>
      <c r="AD19" t="str">
        <f t="shared" si="7"/>
        <v>none</v>
      </c>
      <c r="AE19" t="s">
        <v>58</v>
      </c>
      <c r="AF19" t="str">
        <f t="shared" si="8"/>
        <v>Black or African American</v>
      </c>
    </row>
    <row r="20" spans="1:32" x14ac:dyDescent="0.45">
      <c r="A20" t="s">
        <v>124</v>
      </c>
      <c r="B20" t="s">
        <v>25</v>
      </c>
      <c r="C20" s="3" t="s">
        <v>26</v>
      </c>
      <c r="D20" s="3">
        <f t="shared" si="0"/>
        <v>44840</v>
      </c>
      <c r="E20" t="s">
        <v>125</v>
      </c>
      <c r="F20" s="4">
        <f t="shared" si="1"/>
        <v>0.36736111111111114</v>
      </c>
      <c r="G20" t="s">
        <v>126</v>
      </c>
      <c r="H20" t="s">
        <v>123</v>
      </c>
      <c r="I20" t="str">
        <f t="shared" si="2"/>
        <v>None</v>
      </c>
      <c r="J20" t="s">
        <v>43</v>
      </c>
      <c r="K20" t="s">
        <v>44</v>
      </c>
      <c r="L20">
        <f t="shared" si="3"/>
        <v>53</v>
      </c>
      <c r="M20" t="s">
        <v>103</v>
      </c>
      <c r="N20" t="str">
        <f t="shared" si="4"/>
        <v>Tech</v>
      </c>
      <c r="O20" t="s">
        <v>46</v>
      </c>
      <c r="P20" t="str">
        <f t="shared" si="5"/>
        <v>R</v>
      </c>
      <c r="Q20">
        <v>7</v>
      </c>
      <c r="R20">
        <v>8</v>
      </c>
      <c r="S20">
        <v>8</v>
      </c>
      <c r="T20">
        <v>6</v>
      </c>
      <c r="U20">
        <v>8</v>
      </c>
      <c r="V20">
        <v>3</v>
      </c>
      <c r="W20" t="s">
        <v>35</v>
      </c>
      <c r="X20" t="s">
        <v>70</v>
      </c>
      <c r="Y20" t="s">
        <v>65</v>
      </c>
      <c r="Z20">
        <v>26</v>
      </c>
      <c r="AA20" t="s">
        <v>47</v>
      </c>
      <c r="AB20" t="str">
        <f t="shared" si="6"/>
        <v>Canada</v>
      </c>
      <c r="AC20" t="s">
        <v>28</v>
      </c>
      <c r="AD20" t="str">
        <f t="shared" si="7"/>
        <v>none</v>
      </c>
      <c r="AE20" t="s">
        <v>48</v>
      </c>
      <c r="AF20" t="str">
        <f t="shared" si="8"/>
        <v>Asian or Asian American</v>
      </c>
    </row>
    <row r="21" spans="1:32" x14ac:dyDescent="0.45">
      <c r="A21" t="s">
        <v>127</v>
      </c>
      <c r="B21" t="s">
        <v>25</v>
      </c>
      <c r="C21" s="3" t="s">
        <v>26</v>
      </c>
      <c r="D21" s="3">
        <f t="shared" si="0"/>
        <v>44840</v>
      </c>
      <c r="E21" t="s">
        <v>125</v>
      </c>
      <c r="F21" s="4">
        <f t="shared" si="1"/>
        <v>0.36736111111111114</v>
      </c>
      <c r="G21" t="s">
        <v>128</v>
      </c>
      <c r="H21" t="s">
        <v>30</v>
      </c>
      <c r="I21" t="str">
        <f t="shared" si="2"/>
        <v>Data Analyst</v>
      </c>
      <c r="J21" t="s">
        <v>43</v>
      </c>
      <c r="K21" t="s">
        <v>53</v>
      </c>
      <c r="L21">
        <f t="shared" si="3"/>
        <v>20</v>
      </c>
      <c r="M21" t="s">
        <v>129</v>
      </c>
      <c r="N21" t="str">
        <f t="shared" si="4"/>
        <v>Other</v>
      </c>
      <c r="O21" t="s">
        <v>34</v>
      </c>
      <c r="P21" t="str">
        <f t="shared" si="5"/>
        <v>Python</v>
      </c>
      <c r="Q21">
        <v>1</v>
      </c>
      <c r="R21">
        <v>1</v>
      </c>
      <c r="S21">
        <v>1</v>
      </c>
      <c r="T21">
        <v>1</v>
      </c>
      <c r="U21">
        <v>2</v>
      </c>
      <c r="V21">
        <v>0</v>
      </c>
      <c r="W21" t="s">
        <v>35</v>
      </c>
      <c r="X21" t="s">
        <v>70</v>
      </c>
      <c r="Y21" t="s">
        <v>37</v>
      </c>
      <c r="Z21">
        <v>28</v>
      </c>
      <c r="AA21" t="s">
        <v>57</v>
      </c>
      <c r="AB21" t="str">
        <f t="shared" si="6"/>
        <v>Other</v>
      </c>
      <c r="AC21" t="s">
        <v>28</v>
      </c>
      <c r="AD21" t="str">
        <f t="shared" si="7"/>
        <v>none</v>
      </c>
      <c r="AE21" t="s">
        <v>58</v>
      </c>
      <c r="AF21" t="str">
        <f t="shared" si="8"/>
        <v>Black or African American</v>
      </c>
    </row>
    <row r="22" spans="1:32" x14ac:dyDescent="0.45">
      <c r="A22" t="s">
        <v>130</v>
      </c>
      <c r="B22" t="s">
        <v>25</v>
      </c>
      <c r="C22" s="3" t="s">
        <v>26</v>
      </c>
      <c r="D22" s="3">
        <f t="shared" si="0"/>
        <v>44840</v>
      </c>
      <c r="E22" t="s">
        <v>125</v>
      </c>
      <c r="F22" s="4">
        <f t="shared" si="1"/>
        <v>0.36736111111111114</v>
      </c>
      <c r="G22" t="s">
        <v>131</v>
      </c>
      <c r="H22" t="s">
        <v>30</v>
      </c>
      <c r="I22" t="str">
        <f t="shared" si="2"/>
        <v>Data Analyst</v>
      </c>
      <c r="J22" t="s">
        <v>31</v>
      </c>
      <c r="K22" t="s">
        <v>44</v>
      </c>
      <c r="L22">
        <f t="shared" si="3"/>
        <v>53</v>
      </c>
      <c r="M22" t="s">
        <v>45</v>
      </c>
      <c r="N22" t="str">
        <f t="shared" si="4"/>
        <v>Finance</v>
      </c>
      <c r="O22" t="s">
        <v>34</v>
      </c>
      <c r="P22" t="str">
        <f t="shared" si="5"/>
        <v>Python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 t="s">
        <v>55</v>
      </c>
      <c r="X22" t="s">
        <v>36</v>
      </c>
      <c r="Y22" t="s">
        <v>37</v>
      </c>
      <c r="Z22">
        <v>29</v>
      </c>
      <c r="AA22" t="s">
        <v>132</v>
      </c>
      <c r="AB22" t="str">
        <f t="shared" si="6"/>
        <v>Other</v>
      </c>
      <c r="AC22" t="s">
        <v>28</v>
      </c>
      <c r="AD22" t="str">
        <f t="shared" si="7"/>
        <v>none</v>
      </c>
      <c r="AE22" t="s">
        <v>58</v>
      </c>
      <c r="AF22" t="str">
        <f t="shared" si="8"/>
        <v>Black or African American</v>
      </c>
    </row>
    <row r="23" spans="1:32" x14ac:dyDescent="0.45">
      <c r="A23" t="s">
        <v>133</v>
      </c>
      <c r="B23" t="s">
        <v>25</v>
      </c>
      <c r="C23" s="3" t="s">
        <v>26</v>
      </c>
      <c r="D23" s="3">
        <f t="shared" si="0"/>
        <v>44840</v>
      </c>
      <c r="E23" t="s">
        <v>134</v>
      </c>
      <c r="F23" s="4">
        <f t="shared" si="1"/>
        <v>0.36805555555555558</v>
      </c>
      <c r="G23" t="s">
        <v>135</v>
      </c>
      <c r="H23" t="s">
        <v>30</v>
      </c>
      <c r="I23" t="str">
        <f t="shared" si="2"/>
        <v>Data Analyst</v>
      </c>
      <c r="J23" t="s">
        <v>31</v>
      </c>
      <c r="K23" t="s">
        <v>32</v>
      </c>
      <c r="L23">
        <f t="shared" si="3"/>
        <v>115.5</v>
      </c>
      <c r="M23" t="s">
        <v>103</v>
      </c>
      <c r="N23" t="str">
        <f t="shared" si="4"/>
        <v>Tech</v>
      </c>
      <c r="O23" t="s">
        <v>136</v>
      </c>
      <c r="P23" t="str">
        <f t="shared" si="5"/>
        <v>Other</v>
      </c>
      <c r="Q23">
        <v>10</v>
      </c>
      <c r="R23">
        <v>5</v>
      </c>
      <c r="S23">
        <v>10</v>
      </c>
      <c r="T23">
        <v>6</v>
      </c>
      <c r="U23">
        <v>10</v>
      </c>
      <c r="V23">
        <v>10</v>
      </c>
      <c r="W23" t="s">
        <v>85</v>
      </c>
      <c r="X23" t="s">
        <v>36</v>
      </c>
      <c r="Y23" t="s">
        <v>65</v>
      </c>
      <c r="Z23">
        <v>31</v>
      </c>
      <c r="AA23" t="s">
        <v>38</v>
      </c>
      <c r="AB23" t="str">
        <f t="shared" si="6"/>
        <v>United States</v>
      </c>
      <c r="AC23" t="s">
        <v>28</v>
      </c>
      <c r="AD23" t="str">
        <f t="shared" si="7"/>
        <v>none</v>
      </c>
      <c r="AE23" t="s">
        <v>39</v>
      </c>
      <c r="AF23" t="str">
        <f t="shared" si="8"/>
        <v>White or Caucasian</v>
      </c>
    </row>
    <row r="24" spans="1:32" x14ac:dyDescent="0.45">
      <c r="A24" t="s">
        <v>137</v>
      </c>
      <c r="B24" t="s">
        <v>25</v>
      </c>
      <c r="C24" s="3" t="s">
        <v>26</v>
      </c>
      <c r="D24" s="3">
        <f t="shared" si="0"/>
        <v>44840</v>
      </c>
      <c r="E24" t="s">
        <v>138</v>
      </c>
      <c r="F24" s="4">
        <f t="shared" si="1"/>
        <v>0.36875000000000002</v>
      </c>
      <c r="G24" t="s">
        <v>81</v>
      </c>
      <c r="H24" t="s">
        <v>30</v>
      </c>
      <c r="I24" t="str">
        <f t="shared" si="2"/>
        <v>Data Analyst</v>
      </c>
      <c r="J24" t="s">
        <v>31</v>
      </c>
      <c r="K24" t="s">
        <v>53</v>
      </c>
      <c r="L24">
        <f t="shared" si="3"/>
        <v>20</v>
      </c>
      <c r="M24" t="s">
        <v>33</v>
      </c>
      <c r="N24" t="str">
        <f t="shared" si="4"/>
        <v>Healthcare</v>
      </c>
      <c r="O24" t="s">
        <v>34</v>
      </c>
      <c r="P24" t="str">
        <f t="shared" si="5"/>
        <v>Python</v>
      </c>
      <c r="Q24">
        <v>5</v>
      </c>
      <c r="R24">
        <v>6</v>
      </c>
      <c r="S24">
        <v>8</v>
      </c>
      <c r="T24">
        <v>8</v>
      </c>
      <c r="U24">
        <v>7</v>
      </c>
      <c r="V24">
        <v>1</v>
      </c>
      <c r="W24" t="s">
        <v>85</v>
      </c>
      <c r="X24" t="s">
        <v>36</v>
      </c>
      <c r="Y24" t="s">
        <v>37</v>
      </c>
      <c r="Z24">
        <v>28</v>
      </c>
      <c r="AA24" t="s">
        <v>139</v>
      </c>
      <c r="AB24" t="str">
        <f t="shared" si="6"/>
        <v>Other</v>
      </c>
      <c r="AC24" t="s">
        <v>28</v>
      </c>
      <c r="AD24" t="str">
        <f t="shared" si="7"/>
        <v>none</v>
      </c>
      <c r="AE24" t="s">
        <v>39</v>
      </c>
      <c r="AF24" t="str">
        <f t="shared" si="8"/>
        <v>White or Caucasian</v>
      </c>
    </row>
    <row r="25" spans="1:32" x14ac:dyDescent="0.45">
      <c r="A25" t="s">
        <v>140</v>
      </c>
      <c r="B25" t="s">
        <v>25</v>
      </c>
      <c r="C25" s="3" t="s">
        <v>26</v>
      </c>
      <c r="D25" s="3">
        <f t="shared" si="0"/>
        <v>44840</v>
      </c>
      <c r="E25" t="s">
        <v>138</v>
      </c>
      <c r="F25" s="4">
        <f t="shared" si="1"/>
        <v>0.36875000000000002</v>
      </c>
      <c r="G25" t="s">
        <v>141</v>
      </c>
      <c r="H25" t="s">
        <v>30</v>
      </c>
      <c r="I25" t="str">
        <f t="shared" si="2"/>
        <v>Data Analyst</v>
      </c>
      <c r="J25" t="s">
        <v>43</v>
      </c>
      <c r="K25" t="s">
        <v>53</v>
      </c>
      <c r="L25">
        <f t="shared" si="3"/>
        <v>20</v>
      </c>
      <c r="M25" t="s">
        <v>45</v>
      </c>
      <c r="N25" t="str">
        <f t="shared" si="4"/>
        <v>Finance</v>
      </c>
      <c r="O25" t="s">
        <v>34</v>
      </c>
      <c r="P25" t="str">
        <f t="shared" si="5"/>
        <v>Python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 t="s">
        <v>85</v>
      </c>
      <c r="X25" t="s">
        <v>70</v>
      </c>
      <c r="Y25" t="s">
        <v>37</v>
      </c>
      <c r="Z25">
        <v>32</v>
      </c>
      <c r="AA25" t="s">
        <v>104</v>
      </c>
      <c r="AB25" t="str">
        <f t="shared" si="6"/>
        <v>Other</v>
      </c>
      <c r="AC25" t="s">
        <v>28</v>
      </c>
      <c r="AD25" t="str">
        <f t="shared" si="7"/>
        <v>none</v>
      </c>
      <c r="AE25" t="s">
        <v>91</v>
      </c>
      <c r="AF25" t="str">
        <f t="shared" si="8"/>
        <v>Hispanic or Latino</v>
      </c>
    </row>
    <row r="26" spans="1:32" x14ac:dyDescent="0.45">
      <c r="A26" t="s">
        <v>142</v>
      </c>
      <c r="B26" t="s">
        <v>25</v>
      </c>
      <c r="C26" s="3" t="s">
        <v>26</v>
      </c>
      <c r="D26" s="3">
        <f t="shared" si="0"/>
        <v>44840</v>
      </c>
      <c r="E26" t="s">
        <v>138</v>
      </c>
      <c r="F26" s="4">
        <f t="shared" si="1"/>
        <v>0.36875000000000002</v>
      </c>
      <c r="G26" t="s">
        <v>143</v>
      </c>
      <c r="H26" t="s">
        <v>30</v>
      </c>
      <c r="I26" t="str">
        <f t="shared" si="2"/>
        <v>Data Analyst</v>
      </c>
      <c r="J26" t="s">
        <v>43</v>
      </c>
      <c r="K26" t="s">
        <v>53</v>
      </c>
      <c r="L26">
        <f t="shared" si="3"/>
        <v>20</v>
      </c>
      <c r="M26" t="s">
        <v>103</v>
      </c>
      <c r="N26" t="str">
        <f t="shared" si="4"/>
        <v>Tech</v>
      </c>
      <c r="O26" t="s">
        <v>34</v>
      </c>
      <c r="P26" t="str">
        <f t="shared" si="5"/>
        <v>Python</v>
      </c>
      <c r="Q26">
        <v>7</v>
      </c>
      <c r="R26">
        <v>8</v>
      </c>
      <c r="S26">
        <v>8</v>
      </c>
      <c r="T26">
        <v>8</v>
      </c>
      <c r="U26">
        <v>3</v>
      </c>
      <c r="V26">
        <v>8</v>
      </c>
      <c r="W26" t="s">
        <v>55</v>
      </c>
      <c r="X26" t="s">
        <v>70</v>
      </c>
      <c r="Y26" t="s">
        <v>37</v>
      </c>
      <c r="Z26">
        <v>24</v>
      </c>
      <c r="AA26" t="s">
        <v>144</v>
      </c>
      <c r="AB26" t="str">
        <f t="shared" si="6"/>
        <v>Other</v>
      </c>
      <c r="AC26" t="s">
        <v>28</v>
      </c>
      <c r="AD26" t="str">
        <f t="shared" si="7"/>
        <v>none</v>
      </c>
      <c r="AE26" t="s">
        <v>58</v>
      </c>
      <c r="AF26" t="str">
        <f t="shared" si="8"/>
        <v>Black or African American</v>
      </c>
    </row>
    <row r="27" spans="1:32" x14ac:dyDescent="0.45">
      <c r="A27" t="s">
        <v>145</v>
      </c>
      <c r="B27" t="s">
        <v>25</v>
      </c>
      <c r="C27" s="3" t="s">
        <v>26</v>
      </c>
      <c r="D27" s="3">
        <f t="shared" si="0"/>
        <v>44840</v>
      </c>
      <c r="E27" t="s">
        <v>138</v>
      </c>
      <c r="F27" s="4">
        <f t="shared" si="1"/>
        <v>0.36875000000000002</v>
      </c>
      <c r="G27" t="s">
        <v>146</v>
      </c>
      <c r="H27" t="s">
        <v>30</v>
      </c>
      <c r="I27" t="str">
        <f t="shared" si="2"/>
        <v>Data Analyst</v>
      </c>
      <c r="J27" t="s">
        <v>43</v>
      </c>
      <c r="K27" t="s">
        <v>53</v>
      </c>
      <c r="L27">
        <f t="shared" si="3"/>
        <v>20</v>
      </c>
      <c r="M27" t="s">
        <v>103</v>
      </c>
      <c r="N27" t="str">
        <f t="shared" si="4"/>
        <v>Tech</v>
      </c>
      <c r="O27" t="s">
        <v>34</v>
      </c>
      <c r="P27" t="str">
        <f t="shared" si="5"/>
        <v>Python</v>
      </c>
      <c r="Q27">
        <v>4</v>
      </c>
      <c r="R27">
        <v>6</v>
      </c>
      <c r="S27">
        <v>6</v>
      </c>
      <c r="T27">
        <v>6</v>
      </c>
      <c r="U27">
        <v>7</v>
      </c>
      <c r="V27">
        <v>7</v>
      </c>
      <c r="W27" t="s">
        <v>55</v>
      </c>
      <c r="X27" t="s">
        <v>56</v>
      </c>
      <c r="Y27" t="s">
        <v>37</v>
      </c>
      <c r="Z27">
        <v>31</v>
      </c>
      <c r="AA27" t="s">
        <v>147</v>
      </c>
      <c r="AB27" t="str">
        <f t="shared" si="6"/>
        <v>India</v>
      </c>
      <c r="AC27" t="s">
        <v>28</v>
      </c>
      <c r="AD27" t="str">
        <f t="shared" si="7"/>
        <v>none</v>
      </c>
      <c r="AE27" t="s">
        <v>48</v>
      </c>
      <c r="AF27" t="str">
        <f t="shared" si="8"/>
        <v>Asian or Asian American</v>
      </c>
    </row>
    <row r="28" spans="1:32" x14ac:dyDescent="0.45">
      <c r="A28" t="s">
        <v>148</v>
      </c>
      <c r="B28" t="s">
        <v>25</v>
      </c>
      <c r="C28" s="3" t="s">
        <v>26</v>
      </c>
      <c r="D28" s="3">
        <f t="shared" si="0"/>
        <v>44840</v>
      </c>
      <c r="E28" t="s">
        <v>149</v>
      </c>
      <c r="F28" s="4">
        <f t="shared" si="1"/>
        <v>0.36944444444444446</v>
      </c>
      <c r="G28" t="s">
        <v>150</v>
      </c>
      <c r="H28" t="s">
        <v>30</v>
      </c>
      <c r="I28" t="str">
        <f t="shared" si="2"/>
        <v>Data Analyst</v>
      </c>
      <c r="J28" t="s">
        <v>43</v>
      </c>
      <c r="K28" t="s">
        <v>94</v>
      </c>
      <c r="L28">
        <f t="shared" si="3"/>
        <v>75.5</v>
      </c>
      <c r="M28" t="s">
        <v>151</v>
      </c>
      <c r="N28" t="str">
        <f t="shared" si="4"/>
        <v>Other</v>
      </c>
      <c r="O28" t="s">
        <v>84</v>
      </c>
      <c r="P28" t="str">
        <f t="shared" si="5"/>
        <v>Other</v>
      </c>
      <c r="Q28">
        <v>7</v>
      </c>
      <c r="R28">
        <v>10</v>
      </c>
      <c r="S28">
        <v>5</v>
      </c>
      <c r="T28">
        <v>5</v>
      </c>
      <c r="U28">
        <v>5</v>
      </c>
      <c r="V28">
        <v>2</v>
      </c>
      <c r="W28" t="s">
        <v>69</v>
      </c>
      <c r="X28" t="s">
        <v>152</v>
      </c>
      <c r="Y28" t="s">
        <v>37</v>
      </c>
      <c r="Z28">
        <v>23</v>
      </c>
      <c r="AA28" t="s">
        <v>38</v>
      </c>
      <c r="AB28" t="str">
        <f t="shared" si="6"/>
        <v>United States</v>
      </c>
      <c r="AC28" t="s">
        <v>28</v>
      </c>
      <c r="AD28" t="str">
        <f t="shared" si="7"/>
        <v>none</v>
      </c>
      <c r="AE28" t="s">
        <v>39</v>
      </c>
      <c r="AF28" t="str">
        <f t="shared" si="8"/>
        <v>White or Caucasian</v>
      </c>
    </row>
    <row r="29" spans="1:32" x14ac:dyDescent="0.45">
      <c r="A29" t="s">
        <v>153</v>
      </c>
      <c r="B29" t="s">
        <v>25</v>
      </c>
      <c r="C29" s="3" t="s">
        <v>26</v>
      </c>
      <c r="D29" s="3">
        <f t="shared" si="0"/>
        <v>44840</v>
      </c>
      <c r="E29" t="s">
        <v>149</v>
      </c>
      <c r="F29" s="4">
        <f t="shared" si="1"/>
        <v>0.36944444444444446</v>
      </c>
      <c r="G29" t="s">
        <v>154</v>
      </c>
      <c r="H29" t="s">
        <v>30</v>
      </c>
      <c r="I29" t="str">
        <f t="shared" si="2"/>
        <v>Data Analyst</v>
      </c>
      <c r="J29" t="s">
        <v>31</v>
      </c>
      <c r="K29" t="s">
        <v>32</v>
      </c>
      <c r="L29">
        <f t="shared" si="3"/>
        <v>115.5</v>
      </c>
      <c r="M29" t="s">
        <v>155</v>
      </c>
      <c r="N29" t="str">
        <f t="shared" si="4"/>
        <v>Other</v>
      </c>
      <c r="O29" t="s">
        <v>34</v>
      </c>
      <c r="P29" t="str">
        <f t="shared" si="5"/>
        <v>Python</v>
      </c>
      <c r="Q29">
        <v>1</v>
      </c>
      <c r="R29">
        <v>6</v>
      </c>
      <c r="S29">
        <v>9</v>
      </c>
      <c r="T29">
        <v>1</v>
      </c>
      <c r="U29">
        <v>0</v>
      </c>
      <c r="V29">
        <v>2</v>
      </c>
      <c r="W29" t="s">
        <v>69</v>
      </c>
      <c r="X29" t="s">
        <v>36</v>
      </c>
      <c r="Y29" t="s">
        <v>65</v>
      </c>
      <c r="Z29">
        <v>33</v>
      </c>
      <c r="AA29" t="s">
        <v>38</v>
      </c>
      <c r="AB29" t="str">
        <f t="shared" si="6"/>
        <v>United States</v>
      </c>
      <c r="AC29" t="s">
        <v>28</v>
      </c>
      <c r="AD29" t="str">
        <f t="shared" si="7"/>
        <v>none</v>
      </c>
      <c r="AE29" t="s">
        <v>48</v>
      </c>
      <c r="AF29" t="str">
        <f t="shared" si="8"/>
        <v>Asian or Asian American</v>
      </c>
    </row>
    <row r="30" spans="1:32" x14ac:dyDescent="0.45">
      <c r="A30" t="s">
        <v>156</v>
      </c>
      <c r="B30" t="s">
        <v>25</v>
      </c>
      <c r="C30" s="3" t="s">
        <v>26</v>
      </c>
      <c r="D30" s="3">
        <f t="shared" si="0"/>
        <v>44840</v>
      </c>
      <c r="E30" t="s">
        <v>149</v>
      </c>
      <c r="F30" s="4">
        <f t="shared" si="1"/>
        <v>0.36944444444444446</v>
      </c>
      <c r="G30" t="s">
        <v>157</v>
      </c>
      <c r="H30" t="s">
        <v>30</v>
      </c>
      <c r="I30" t="str">
        <f t="shared" si="2"/>
        <v>Data Analyst</v>
      </c>
      <c r="J30" t="s">
        <v>43</v>
      </c>
      <c r="K30" t="s">
        <v>87</v>
      </c>
      <c r="L30">
        <f t="shared" si="3"/>
        <v>95.5</v>
      </c>
      <c r="M30" t="s">
        <v>33</v>
      </c>
      <c r="N30" t="str">
        <f t="shared" si="4"/>
        <v>Healthcare</v>
      </c>
      <c r="O30" t="s">
        <v>158</v>
      </c>
      <c r="P30" t="str">
        <f t="shared" si="5"/>
        <v>Other</v>
      </c>
      <c r="Q30">
        <v>6</v>
      </c>
      <c r="R30">
        <v>7</v>
      </c>
      <c r="S30">
        <v>7</v>
      </c>
      <c r="T30">
        <v>7</v>
      </c>
      <c r="U30">
        <v>7</v>
      </c>
      <c r="V30">
        <v>4</v>
      </c>
      <c r="W30" t="s">
        <v>64</v>
      </c>
      <c r="X30" t="s">
        <v>70</v>
      </c>
      <c r="Y30" t="s">
        <v>37</v>
      </c>
      <c r="Z30">
        <v>43</v>
      </c>
      <c r="AA30" t="s">
        <v>38</v>
      </c>
      <c r="AB30" t="str">
        <f t="shared" si="6"/>
        <v>United States</v>
      </c>
      <c r="AC30" t="s">
        <v>28</v>
      </c>
      <c r="AD30" t="str">
        <f t="shared" si="7"/>
        <v>none</v>
      </c>
      <c r="AE30" t="s">
        <v>39</v>
      </c>
      <c r="AF30" t="str">
        <f t="shared" si="8"/>
        <v>White or Caucasian</v>
      </c>
    </row>
    <row r="31" spans="1:32" x14ac:dyDescent="0.45">
      <c r="A31" t="s">
        <v>159</v>
      </c>
      <c r="B31" t="s">
        <v>25</v>
      </c>
      <c r="C31" s="3" t="s">
        <v>26</v>
      </c>
      <c r="D31" s="3">
        <f t="shared" si="0"/>
        <v>44840</v>
      </c>
      <c r="E31" t="s">
        <v>149</v>
      </c>
      <c r="F31" s="4">
        <f t="shared" si="1"/>
        <v>0.36944444444444446</v>
      </c>
      <c r="G31" t="s">
        <v>157</v>
      </c>
      <c r="H31" t="s">
        <v>123</v>
      </c>
      <c r="I31" t="str">
        <f t="shared" si="2"/>
        <v>None</v>
      </c>
      <c r="J31" t="s">
        <v>31</v>
      </c>
      <c r="K31" t="s">
        <v>53</v>
      </c>
      <c r="L31">
        <f t="shared" si="3"/>
        <v>20</v>
      </c>
      <c r="M31" t="s">
        <v>160</v>
      </c>
      <c r="N31" t="str">
        <f t="shared" si="4"/>
        <v>Other</v>
      </c>
      <c r="O31" t="s">
        <v>46</v>
      </c>
      <c r="P31" t="str">
        <f t="shared" si="5"/>
        <v>R</v>
      </c>
      <c r="Q31">
        <v>0</v>
      </c>
      <c r="R31">
        <v>0</v>
      </c>
      <c r="S31">
        <v>5</v>
      </c>
      <c r="T31">
        <v>0</v>
      </c>
      <c r="U31">
        <v>0</v>
      </c>
      <c r="V31">
        <v>0</v>
      </c>
      <c r="W31" t="s">
        <v>35</v>
      </c>
      <c r="X31" t="s">
        <v>36</v>
      </c>
      <c r="Y31" t="s">
        <v>65</v>
      </c>
      <c r="Z31">
        <v>23</v>
      </c>
      <c r="AA31" t="s">
        <v>57</v>
      </c>
      <c r="AB31" t="str">
        <f t="shared" si="6"/>
        <v>Other</v>
      </c>
      <c r="AC31" t="s">
        <v>28</v>
      </c>
      <c r="AD31" t="str">
        <f t="shared" si="7"/>
        <v>none</v>
      </c>
      <c r="AE31" t="s">
        <v>161</v>
      </c>
      <c r="AF31" t="str">
        <f t="shared" si="8"/>
        <v>Other</v>
      </c>
    </row>
    <row r="32" spans="1:32" x14ac:dyDescent="0.45">
      <c r="A32" t="s">
        <v>162</v>
      </c>
      <c r="B32" t="s">
        <v>25</v>
      </c>
      <c r="C32" s="3" t="s">
        <v>26</v>
      </c>
      <c r="D32" s="3">
        <f t="shared" si="0"/>
        <v>44840</v>
      </c>
      <c r="E32" t="s">
        <v>149</v>
      </c>
      <c r="F32" s="4">
        <f t="shared" si="1"/>
        <v>0.36944444444444446</v>
      </c>
      <c r="G32" t="s">
        <v>141</v>
      </c>
      <c r="H32" t="s">
        <v>123</v>
      </c>
      <c r="I32" t="str">
        <f t="shared" si="2"/>
        <v>None</v>
      </c>
      <c r="J32" t="s">
        <v>31</v>
      </c>
      <c r="K32" t="s">
        <v>44</v>
      </c>
      <c r="L32">
        <f t="shared" si="3"/>
        <v>53</v>
      </c>
      <c r="M32" t="s">
        <v>45</v>
      </c>
      <c r="N32" t="str">
        <f t="shared" si="4"/>
        <v>Finance</v>
      </c>
      <c r="O32" t="s">
        <v>34</v>
      </c>
      <c r="P32" t="str">
        <f t="shared" si="5"/>
        <v>Python</v>
      </c>
      <c r="Q32">
        <v>10</v>
      </c>
      <c r="R32">
        <v>7</v>
      </c>
      <c r="S32">
        <v>10</v>
      </c>
      <c r="T32">
        <v>10</v>
      </c>
      <c r="U32">
        <v>5</v>
      </c>
      <c r="V32">
        <v>3</v>
      </c>
      <c r="W32" t="s">
        <v>35</v>
      </c>
      <c r="X32" t="s">
        <v>56</v>
      </c>
      <c r="Y32" t="s">
        <v>37</v>
      </c>
      <c r="Z32">
        <v>31</v>
      </c>
      <c r="AA32" t="s">
        <v>38</v>
      </c>
      <c r="AB32" t="str">
        <f t="shared" si="6"/>
        <v>United States</v>
      </c>
      <c r="AC32" t="s">
        <v>28</v>
      </c>
      <c r="AD32" t="str">
        <f t="shared" si="7"/>
        <v>none</v>
      </c>
      <c r="AE32" t="s">
        <v>58</v>
      </c>
      <c r="AF32" t="str">
        <f t="shared" si="8"/>
        <v>Black or African American</v>
      </c>
    </row>
    <row r="33" spans="1:32" x14ac:dyDescent="0.45">
      <c r="A33" t="s">
        <v>163</v>
      </c>
      <c r="B33" t="s">
        <v>25</v>
      </c>
      <c r="C33" s="3" t="s">
        <v>26</v>
      </c>
      <c r="D33" s="3">
        <f t="shared" si="0"/>
        <v>44840</v>
      </c>
      <c r="E33" t="s">
        <v>164</v>
      </c>
      <c r="F33" s="4">
        <f t="shared" si="1"/>
        <v>0.37013888888888891</v>
      </c>
      <c r="G33" t="s">
        <v>165</v>
      </c>
      <c r="H33" t="s">
        <v>30</v>
      </c>
      <c r="I33" t="str">
        <f t="shared" si="2"/>
        <v>Data Analyst</v>
      </c>
      <c r="J33" t="s">
        <v>31</v>
      </c>
      <c r="K33" t="s">
        <v>94</v>
      </c>
      <c r="L33">
        <f t="shared" si="3"/>
        <v>75.5</v>
      </c>
      <c r="M33" t="s">
        <v>45</v>
      </c>
      <c r="N33" t="str">
        <f t="shared" si="4"/>
        <v>Finance</v>
      </c>
      <c r="O33" t="s">
        <v>34</v>
      </c>
      <c r="P33" t="str">
        <f t="shared" si="5"/>
        <v>Python</v>
      </c>
      <c r="Q33">
        <v>5</v>
      </c>
      <c r="R33">
        <v>6</v>
      </c>
      <c r="S33">
        <v>7</v>
      </c>
      <c r="T33">
        <v>5</v>
      </c>
      <c r="U33">
        <v>4</v>
      </c>
      <c r="V33">
        <v>4</v>
      </c>
      <c r="W33" t="s">
        <v>85</v>
      </c>
      <c r="X33" t="s">
        <v>166</v>
      </c>
      <c r="Y33" t="s">
        <v>37</v>
      </c>
      <c r="Z33">
        <v>31</v>
      </c>
      <c r="AA33" t="s">
        <v>109</v>
      </c>
      <c r="AB33" t="str">
        <f t="shared" si="6"/>
        <v>United Kingdom</v>
      </c>
      <c r="AC33" t="s">
        <v>28</v>
      </c>
      <c r="AD33" t="str">
        <f t="shared" si="7"/>
        <v>none</v>
      </c>
      <c r="AE33" t="s">
        <v>39</v>
      </c>
      <c r="AF33" t="str">
        <f t="shared" si="8"/>
        <v>White or Caucasian</v>
      </c>
    </row>
    <row r="34" spans="1:32" x14ac:dyDescent="0.45">
      <c r="A34" t="s">
        <v>167</v>
      </c>
      <c r="B34" t="s">
        <v>25</v>
      </c>
      <c r="C34" s="3" t="s">
        <v>26</v>
      </c>
      <c r="D34" s="3">
        <f t="shared" si="0"/>
        <v>44840</v>
      </c>
      <c r="E34" t="s">
        <v>164</v>
      </c>
      <c r="F34" s="4">
        <f t="shared" si="1"/>
        <v>0.37013888888888891</v>
      </c>
      <c r="G34" t="s">
        <v>168</v>
      </c>
      <c r="H34" t="s">
        <v>30</v>
      </c>
      <c r="I34" t="str">
        <f t="shared" si="2"/>
        <v>Data Analyst</v>
      </c>
      <c r="J34" t="s">
        <v>31</v>
      </c>
      <c r="K34" t="s">
        <v>53</v>
      </c>
      <c r="L34">
        <f t="shared" si="3"/>
        <v>20</v>
      </c>
      <c r="M34" t="s">
        <v>78</v>
      </c>
      <c r="N34" t="str">
        <f t="shared" si="4"/>
        <v>Other</v>
      </c>
      <c r="O34" t="s">
        <v>34</v>
      </c>
      <c r="P34" t="str">
        <f t="shared" si="5"/>
        <v>Python</v>
      </c>
      <c r="Q34">
        <v>8</v>
      </c>
      <c r="R34">
        <v>7</v>
      </c>
      <c r="S34">
        <v>8</v>
      </c>
      <c r="T34">
        <v>7</v>
      </c>
      <c r="U34">
        <v>7</v>
      </c>
      <c r="V34">
        <v>7</v>
      </c>
      <c r="W34" t="s">
        <v>69</v>
      </c>
      <c r="X34" t="s">
        <v>56</v>
      </c>
      <c r="Y34" t="s">
        <v>37</v>
      </c>
      <c r="Z34">
        <v>25</v>
      </c>
      <c r="AA34" t="s">
        <v>147</v>
      </c>
      <c r="AB34" t="str">
        <f t="shared" si="6"/>
        <v>India</v>
      </c>
      <c r="AC34" t="s">
        <v>28</v>
      </c>
      <c r="AD34" t="str">
        <f t="shared" si="7"/>
        <v>none</v>
      </c>
      <c r="AE34" t="s">
        <v>48</v>
      </c>
      <c r="AF34" t="str">
        <f t="shared" si="8"/>
        <v>Asian or Asian American</v>
      </c>
    </row>
    <row r="35" spans="1:32" x14ac:dyDescent="0.45">
      <c r="A35" t="s">
        <v>169</v>
      </c>
      <c r="B35" t="s">
        <v>25</v>
      </c>
      <c r="C35" s="3" t="s">
        <v>26</v>
      </c>
      <c r="D35" s="3">
        <f t="shared" si="0"/>
        <v>44840</v>
      </c>
      <c r="E35" t="s">
        <v>170</v>
      </c>
      <c r="F35" s="4">
        <f t="shared" si="1"/>
        <v>0.37083333333333335</v>
      </c>
      <c r="G35" t="s">
        <v>171</v>
      </c>
      <c r="H35" t="s">
        <v>52</v>
      </c>
      <c r="I35" t="str">
        <f t="shared" si="2"/>
        <v>Data Engineer</v>
      </c>
      <c r="J35" t="s">
        <v>43</v>
      </c>
      <c r="K35" t="s">
        <v>82</v>
      </c>
      <c r="L35">
        <f t="shared" si="3"/>
        <v>137.5</v>
      </c>
      <c r="M35" t="s">
        <v>103</v>
      </c>
      <c r="N35" t="str">
        <f t="shared" si="4"/>
        <v>Tech</v>
      </c>
      <c r="O35" t="s">
        <v>84</v>
      </c>
      <c r="P35" t="str">
        <f t="shared" si="5"/>
        <v>Other</v>
      </c>
      <c r="Q35">
        <v>8</v>
      </c>
      <c r="R35">
        <v>10</v>
      </c>
      <c r="S35">
        <v>10</v>
      </c>
      <c r="T35">
        <v>9</v>
      </c>
      <c r="U35">
        <v>9</v>
      </c>
      <c r="V35">
        <v>9</v>
      </c>
      <c r="W35" t="s">
        <v>55</v>
      </c>
      <c r="X35" t="s">
        <v>70</v>
      </c>
      <c r="Y35" t="s">
        <v>37</v>
      </c>
      <c r="Z35">
        <v>43</v>
      </c>
      <c r="AA35" t="s">
        <v>38</v>
      </c>
      <c r="AB35" t="str">
        <f t="shared" si="6"/>
        <v>United States</v>
      </c>
      <c r="AC35" t="s">
        <v>28</v>
      </c>
      <c r="AD35" t="str">
        <f t="shared" si="7"/>
        <v>none</v>
      </c>
      <c r="AE35" t="s">
        <v>39</v>
      </c>
      <c r="AF35" t="str">
        <f t="shared" si="8"/>
        <v>White or Caucasian</v>
      </c>
    </row>
    <row r="36" spans="1:32" x14ac:dyDescent="0.45">
      <c r="A36" t="s">
        <v>172</v>
      </c>
      <c r="B36" t="s">
        <v>25</v>
      </c>
      <c r="C36" s="3" t="s">
        <v>26</v>
      </c>
      <c r="D36" s="3">
        <f t="shared" si="0"/>
        <v>44840</v>
      </c>
      <c r="E36" t="s">
        <v>170</v>
      </c>
      <c r="F36" s="4">
        <f t="shared" si="1"/>
        <v>0.37083333333333335</v>
      </c>
      <c r="G36" t="s">
        <v>173</v>
      </c>
      <c r="H36" t="s">
        <v>30</v>
      </c>
      <c r="I36" t="str">
        <f t="shared" si="2"/>
        <v>Data Analyst</v>
      </c>
      <c r="J36" t="s">
        <v>43</v>
      </c>
      <c r="K36" t="s">
        <v>44</v>
      </c>
      <c r="L36">
        <f t="shared" si="3"/>
        <v>53</v>
      </c>
      <c r="M36" t="s">
        <v>45</v>
      </c>
      <c r="N36" t="str">
        <f t="shared" si="4"/>
        <v>Finance</v>
      </c>
      <c r="O36" t="s">
        <v>34</v>
      </c>
      <c r="P36" t="str">
        <f t="shared" si="5"/>
        <v>Python</v>
      </c>
      <c r="Q36">
        <v>2</v>
      </c>
      <c r="R36">
        <v>3</v>
      </c>
      <c r="S36">
        <v>5</v>
      </c>
      <c r="T36">
        <v>5</v>
      </c>
      <c r="U36">
        <v>5</v>
      </c>
      <c r="V36">
        <v>5</v>
      </c>
      <c r="W36" t="s">
        <v>69</v>
      </c>
      <c r="X36" t="s">
        <v>70</v>
      </c>
      <c r="Y36" t="s">
        <v>65</v>
      </c>
      <c r="Z36">
        <v>26</v>
      </c>
      <c r="AA36" t="s">
        <v>47</v>
      </c>
      <c r="AB36" t="str">
        <f t="shared" si="6"/>
        <v>Canada</v>
      </c>
      <c r="AC36" t="s">
        <v>28</v>
      </c>
      <c r="AD36" t="str">
        <f t="shared" si="7"/>
        <v>none</v>
      </c>
      <c r="AE36" t="s">
        <v>174</v>
      </c>
      <c r="AF36" t="str">
        <f t="shared" si="8"/>
        <v>Other</v>
      </c>
    </row>
    <row r="37" spans="1:32" x14ac:dyDescent="0.45">
      <c r="A37" t="s">
        <v>175</v>
      </c>
      <c r="B37" t="s">
        <v>25</v>
      </c>
      <c r="C37" s="3" t="s">
        <v>26</v>
      </c>
      <c r="D37" s="3">
        <f t="shared" si="0"/>
        <v>44840</v>
      </c>
      <c r="E37" t="s">
        <v>170</v>
      </c>
      <c r="F37" s="4">
        <f t="shared" si="1"/>
        <v>0.37083333333333335</v>
      </c>
      <c r="G37" t="s">
        <v>176</v>
      </c>
      <c r="H37" t="s">
        <v>177</v>
      </c>
      <c r="I37" t="str">
        <f t="shared" si="2"/>
        <v>Other</v>
      </c>
      <c r="J37" t="s">
        <v>43</v>
      </c>
      <c r="K37" t="s">
        <v>44</v>
      </c>
      <c r="L37">
        <f t="shared" si="3"/>
        <v>53</v>
      </c>
      <c r="M37" t="s">
        <v>178</v>
      </c>
      <c r="N37" t="str">
        <f t="shared" si="4"/>
        <v>Other</v>
      </c>
      <c r="O37" t="s">
        <v>34</v>
      </c>
      <c r="P37" t="str">
        <f t="shared" si="5"/>
        <v>Python</v>
      </c>
      <c r="Q37">
        <v>5</v>
      </c>
      <c r="R37">
        <v>10</v>
      </c>
      <c r="S37">
        <v>8</v>
      </c>
      <c r="T37">
        <v>8</v>
      </c>
      <c r="U37">
        <v>8</v>
      </c>
      <c r="V37">
        <v>7</v>
      </c>
      <c r="W37" t="s">
        <v>85</v>
      </c>
      <c r="X37" t="s">
        <v>36</v>
      </c>
      <c r="Y37" t="s">
        <v>37</v>
      </c>
      <c r="Z37">
        <v>32</v>
      </c>
      <c r="AA37" t="s">
        <v>179</v>
      </c>
      <c r="AB37" t="str">
        <f t="shared" si="6"/>
        <v>Other</v>
      </c>
      <c r="AC37" t="s">
        <v>28</v>
      </c>
      <c r="AD37" t="str">
        <f t="shared" si="7"/>
        <v>none</v>
      </c>
      <c r="AE37" t="s">
        <v>39</v>
      </c>
      <c r="AF37" t="str">
        <f t="shared" si="8"/>
        <v>White or Caucasian</v>
      </c>
    </row>
    <row r="38" spans="1:32" x14ac:dyDescent="0.45">
      <c r="A38" t="s">
        <v>180</v>
      </c>
      <c r="B38" t="s">
        <v>25</v>
      </c>
      <c r="C38" s="3" t="s">
        <v>26</v>
      </c>
      <c r="D38" s="3">
        <f t="shared" si="0"/>
        <v>44840</v>
      </c>
      <c r="E38" t="s">
        <v>170</v>
      </c>
      <c r="F38" s="4">
        <f t="shared" si="1"/>
        <v>0.37083333333333335</v>
      </c>
      <c r="G38" t="s">
        <v>181</v>
      </c>
      <c r="H38" t="s">
        <v>182</v>
      </c>
      <c r="I38" t="str">
        <f t="shared" si="2"/>
        <v>Other</v>
      </c>
      <c r="J38" t="s">
        <v>43</v>
      </c>
      <c r="K38" t="s">
        <v>53</v>
      </c>
      <c r="L38">
        <f t="shared" si="3"/>
        <v>20</v>
      </c>
      <c r="M38" t="s">
        <v>103</v>
      </c>
      <c r="N38" t="str">
        <f t="shared" si="4"/>
        <v>Tech</v>
      </c>
      <c r="O38" t="s">
        <v>34</v>
      </c>
      <c r="P38" t="str">
        <f t="shared" si="5"/>
        <v>Python</v>
      </c>
      <c r="Q38">
        <v>2</v>
      </c>
      <c r="R38">
        <v>9</v>
      </c>
      <c r="S38">
        <v>7</v>
      </c>
      <c r="T38">
        <v>7</v>
      </c>
      <c r="U38">
        <v>5</v>
      </c>
      <c r="V38">
        <v>6</v>
      </c>
      <c r="W38" t="s">
        <v>69</v>
      </c>
      <c r="X38" t="s">
        <v>70</v>
      </c>
      <c r="Y38" t="s">
        <v>37</v>
      </c>
      <c r="Z38">
        <v>31</v>
      </c>
      <c r="AA38" t="s">
        <v>183</v>
      </c>
      <c r="AB38" t="str">
        <f t="shared" si="6"/>
        <v>Other</v>
      </c>
      <c r="AC38" t="s">
        <v>28</v>
      </c>
      <c r="AD38" t="str">
        <f t="shared" si="7"/>
        <v>none</v>
      </c>
      <c r="AE38" t="s">
        <v>39</v>
      </c>
      <c r="AF38" t="str">
        <f t="shared" si="8"/>
        <v>White or Caucasian</v>
      </c>
    </row>
    <row r="39" spans="1:32" x14ac:dyDescent="0.45">
      <c r="A39" t="s">
        <v>184</v>
      </c>
      <c r="B39" t="s">
        <v>25</v>
      </c>
      <c r="C39" s="3" t="s">
        <v>26</v>
      </c>
      <c r="D39" s="3">
        <f t="shared" si="0"/>
        <v>44840</v>
      </c>
      <c r="E39" t="s">
        <v>185</v>
      </c>
      <c r="F39" s="4">
        <f t="shared" si="1"/>
        <v>0.37152777777777779</v>
      </c>
      <c r="G39" t="s">
        <v>186</v>
      </c>
      <c r="H39" t="s">
        <v>30</v>
      </c>
      <c r="I39" t="str">
        <f t="shared" si="2"/>
        <v>Data Analyst</v>
      </c>
      <c r="J39" t="s">
        <v>31</v>
      </c>
      <c r="K39" t="s">
        <v>87</v>
      </c>
      <c r="L39">
        <f t="shared" si="3"/>
        <v>95.5</v>
      </c>
      <c r="M39" t="s">
        <v>33</v>
      </c>
      <c r="N39" t="str">
        <f t="shared" si="4"/>
        <v>Healthcare</v>
      </c>
      <c r="O39" t="s">
        <v>187</v>
      </c>
      <c r="P39" t="str">
        <f t="shared" si="5"/>
        <v>Other</v>
      </c>
      <c r="Q39">
        <v>3</v>
      </c>
      <c r="R39">
        <v>5</v>
      </c>
      <c r="S39">
        <v>6</v>
      </c>
      <c r="T39">
        <v>4</v>
      </c>
      <c r="U39">
        <v>4</v>
      </c>
      <c r="V39">
        <v>5</v>
      </c>
      <c r="W39" t="s">
        <v>85</v>
      </c>
      <c r="X39" t="s">
        <v>70</v>
      </c>
      <c r="Y39" t="s">
        <v>37</v>
      </c>
      <c r="Z39">
        <v>29</v>
      </c>
      <c r="AA39" t="s">
        <v>38</v>
      </c>
      <c r="AB39" t="str">
        <f t="shared" si="6"/>
        <v>United States</v>
      </c>
      <c r="AC39" t="s">
        <v>28</v>
      </c>
      <c r="AD39" t="str">
        <f t="shared" si="7"/>
        <v>none</v>
      </c>
      <c r="AE39" t="s">
        <v>39</v>
      </c>
      <c r="AF39" t="str">
        <f t="shared" si="8"/>
        <v>White or Caucasian</v>
      </c>
    </row>
    <row r="40" spans="1:32" x14ac:dyDescent="0.45">
      <c r="A40" t="s">
        <v>188</v>
      </c>
      <c r="B40" t="s">
        <v>25</v>
      </c>
      <c r="C40" s="3" t="s">
        <v>26</v>
      </c>
      <c r="D40" s="3">
        <f t="shared" si="0"/>
        <v>44840</v>
      </c>
      <c r="E40" t="s">
        <v>185</v>
      </c>
      <c r="F40" s="4">
        <f t="shared" si="1"/>
        <v>0.37152777777777779</v>
      </c>
      <c r="G40" t="s">
        <v>189</v>
      </c>
      <c r="H40" t="s">
        <v>30</v>
      </c>
      <c r="I40" t="str">
        <f t="shared" si="2"/>
        <v>Data Analyst</v>
      </c>
      <c r="J40" t="s">
        <v>31</v>
      </c>
      <c r="K40" t="s">
        <v>53</v>
      </c>
      <c r="L40">
        <f t="shared" si="3"/>
        <v>20</v>
      </c>
      <c r="M40" t="s">
        <v>190</v>
      </c>
      <c r="N40" t="str">
        <f t="shared" si="4"/>
        <v>Other</v>
      </c>
      <c r="O40" t="s">
        <v>34</v>
      </c>
      <c r="P40" t="str">
        <f t="shared" si="5"/>
        <v>Python</v>
      </c>
      <c r="Q40">
        <v>3</v>
      </c>
      <c r="R40">
        <v>1</v>
      </c>
      <c r="S40">
        <v>3</v>
      </c>
      <c r="T40">
        <v>2</v>
      </c>
      <c r="U40">
        <v>3</v>
      </c>
      <c r="V40">
        <v>1</v>
      </c>
      <c r="W40" t="s">
        <v>85</v>
      </c>
      <c r="X40" t="s">
        <v>114</v>
      </c>
      <c r="Y40" t="s">
        <v>37</v>
      </c>
      <c r="Z40">
        <v>24</v>
      </c>
      <c r="AA40" t="s">
        <v>191</v>
      </c>
      <c r="AB40" t="str">
        <f t="shared" si="6"/>
        <v>Other</v>
      </c>
      <c r="AC40" t="s">
        <v>28</v>
      </c>
      <c r="AD40" t="str">
        <f t="shared" si="7"/>
        <v>none</v>
      </c>
      <c r="AE40" t="s">
        <v>91</v>
      </c>
      <c r="AF40" t="str">
        <f t="shared" si="8"/>
        <v>Hispanic or Latino</v>
      </c>
    </row>
    <row r="41" spans="1:32" x14ac:dyDescent="0.45">
      <c r="A41" t="s">
        <v>192</v>
      </c>
      <c r="B41" t="s">
        <v>25</v>
      </c>
      <c r="C41" s="3" t="s">
        <v>26</v>
      </c>
      <c r="D41" s="3">
        <f t="shared" si="0"/>
        <v>44840</v>
      </c>
      <c r="E41" t="s">
        <v>185</v>
      </c>
      <c r="F41" s="4">
        <f t="shared" si="1"/>
        <v>0.37152777777777779</v>
      </c>
      <c r="G41" t="s">
        <v>193</v>
      </c>
      <c r="H41" t="s">
        <v>123</v>
      </c>
      <c r="I41" t="str">
        <f t="shared" si="2"/>
        <v>None</v>
      </c>
      <c r="J41" t="s">
        <v>31</v>
      </c>
      <c r="K41" t="s">
        <v>44</v>
      </c>
      <c r="L41">
        <f t="shared" si="3"/>
        <v>53</v>
      </c>
      <c r="M41" t="s">
        <v>113</v>
      </c>
      <c r="N41" t="str">
        <f t="shared" si="4"/>
        <v>Construction</v>
      </c>
      <c r="O41" t="s">
        <v>34</v>
      </c>
      <c r="P41" t="str">
        <f t="shared" si="5"/>
        <v>Python</v>
      </c>
      <c r="Q41">
        <v>2</v>
      </c>
      <c r="R41">
        <v>0</v>
      </c>
      <c r="S41">
        <v>2</v>
      </c>
      <c r="T41">
        <v>2</v>
      </c>
      <c r="U41">
        <v>0</v>
      </c>
      <c r="V41">
        <v>0</v>
      </c>
      <c r="W41" t="s">
        <v>35</v>
      </c>
      <c r="X41" t="s">
        <v>36</v>
      </c>
      <c r="Y41" t="s">
        <v>37</v>
      </c>
      <c r="Z41">
        <v>34</v>
      </c>
      <c r="AA41" t="s">
        <v>38</v>
      </c>
      <c r="AB41" t="str">
        <f t="shared" si="6"/>
        <v>United States</v>
      </c>
      <c r="AC41" t="s">
        <v>28</v>
      </c>
      <c r="AD41" t="str">
        <f t="shared" si="7"/>
        <v>none</v>
      </c>
      <c r="AE41" t="s">
        <v>39</v>
      </c>
      <c r="AF41" t="str">
        <f t="shared" si="8"/>
        <v>White or Caucasian</v>
      </c>
    </row>
    <row r="42" spans="1:32" x14ac:dyDescent="0.45">
      <c r="A42" t="s">
        <v>194</v>
      </c>
      <c r="B42" t="s">
        <v>25</v>
      </c>
      <c r="C42" s="3" t="s">
        <v>26</v>
      </c>
      <c r="D42" s="3">
        <f t="shared" si="0"/>
        <v>44840</v>
      </c>
      <c r="E42" t="s">
        <v>195</v>
      </c>
      <c r="F42" s="4">
        <f t="shared" si="1"/>
        <v>0.37291666666666667</v>
      </c>
      <c r="G42" t="s">
        <v>196</v>
      </c>
      <c r="H42" t="s">
        <v>30</v>
      </c>
      <c r="I42" t="str">
        <f t="shared" si="2"/>
        <v>Data Analyst</v>
      </c>
      <c r="J42" t="s">
        <v>31</v>
      </c>
      <c r="K42" t="s">
        <v>44</v>
      </c>
      <c r="L42">
        <f t="shared" si="3"/>
        <v>53</v>
      </c>
      <c r="M42" t="s">
        <v>197</v>
      </c>
      <c r="N42" t="str">
        <f t="shared" si="4"/>
        <v>Other</v>
      </c>
      <c r="O42" t="s">
        <v>198</v>
      </c>
      <c r="P42" t="str">
        <f t="shared" si="5"/>
        <v>Other</v>
      </c>
      <c r="Q42">
        <v>5</v>
      </c>
      <c r="R42">
        <v>6</v>
      </c>
      <c r="S42">
        <v>6</v>
      </c>
      <c r="T42">
        <v>5</v>
      </c>
      <c r="U42">
        <v>4</v>
      </c>
      <c r="V42">
        <v>6</v>
      </c>
      <c r="W42" t="s">
        <v>35</v>
      </c>
      <c r="X42" t="s">
        <v>70</v>
      </c>
      <c r="Y42" t="s">
        <v>37</v>
      </c>
      <c r="Z42">
        <v>42</v>
      </c>
      <c r="AA42" t="s">
        <v>199</v>
      </c>
      <c r="AB42" t="str">
        <f t="shared" si="6"/>
        <v>Other</v>
      </c>
      <c r="AC42" t="s">
        <v>28</v>
      </c>
      <c r="AD42" t="str">
        <f t="shared" si="7"/>
        <v>none</v>
      </c>
      <c r="AE42" t="s">
        <v>200</v>
      </c>
      <c r="AF42" t="str">
        <f t="shared" si="8"/>
        <v>Other</v>
      </c>
    </row>
    <row r="43" spans="1:32" x14ac:dyDescent="0.45">
      <c r="A43" t="s">
        <v>201</v>
      </c>
      <c r="B43" t="s">
        <v>25</v>
      </c>
      <c r="C43" s="3" t="s">
        <v>26</v>
      </c>
      <c r="D43" s="3">
        <f t="shared" si="0"/>
        <v>44840</v>
      </c>
      <c r="E43" t="s">
        <v>195</v>
      </c>
      <c r="F43" s="4">
        <f t="shared" si="1"/>
        <v>0.37291666666666667</v>
      </c>
      <c r="G43" t="s">
        <v>202</v>
      </c>
      <c r="H43" t="s">
        <v>123</v>
      </c>
      <c r="I43" t="str">
        <f t="shared" si="2"/>
        <v>None</v>
      </c>
      <c r="J43" t="s">
        <v>31</v>
      </c>
      <c r="K43" t="s">
        <v>53</v>
      </c>
      <c r="L43">
        <f t="shared" si="3"/>
        <v>20</v>
      </c>
      <c r="M43" t="s">
        <v>203</v>
      </c>
      <c r="N43" t="str">
        <f t="shared" si="4"/>
        <v>Other</v>
      </c>
      <c r="O43" t="s">
        <v>204</v>
      </c>
      <c r="P43" t="str">
        <f t="shared" si="5"/>
        <v>JavaScript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69</v>
      </c>
      <c r="X43" t="s">
        <v>36</v>
      </c>
      <c r="Y43" t="s">
        <v>65</v>
      </c>
      <c r="Z43">
        <v>40</v>
      </c>
      <c r="AA43" t="s">
        <v>38</v>
      </c>
      <c r="AB43" t="str">
        <f t="shared" si="6"/>
        <v>United States</v>
      </c>
      <c r="AC43" t="s">
        <v>28</v>
      </c>
      <c r="AD43" t="str">
        <f t="shared" si="7"/>
        <v>none</v>
      </c>
      <c r="AE43" t="s">
        <v>48</v>
      </c>
      <c r="AF43" t="str">
        <f t="shared" si="8"/>
        <v>Asian or Asian American</v>
      </c>
    </row>
    <row r="44" spans="1:32" x14ac:dyDescent="0.45">
      <c r="A44" t="s">
        <v>205</v>
      </c>
      <c r="B44" t="s">
        <v>25</v>
      </c>
      <c r="C44" s="3" t="s">
        <v>26</v>
      </c>
      <c r="D44" s="3">
        <f t="shared" si="0"/>
        <v>44840</v>
      </c>
      <c r="E44" t="s">
        <v>195</v>
      </c>
      <c r="F44" s="4">
        <f t="shared" si="1"/>
        <v>0.37291666666666667</v>
      </c>
      <c r="G44" t="s">
        <v>206</v>
      </c>
      <c r="H44" t="s">
        <v>123</v>
      </c>
      <c r="I44" t="str">
        <f t="shared" si="2"/>
        <v>None</v>
      </c>
      <c r="J44" t="s">
        <v>43</v>
      </c>
      <c r="K44" t="s">
        <v>44</v>
      </c>
      <c r="L44">
        <f t="shared" si="3"/>
        <v>53</v>
      </c>
      <c r="M44" t="s">
        <v>90</v>
      </c>
      <c r="N44" t="str">
        <f t="shared" si="4"/>
        <v>Telecommunication</v>
      </c>
      <c r="O44" t="s">
        <v>34</v>
      </c>
      <c r="P44" t="str">
        <f t="shared" si="5"/>
        <v>Python</v>
      </c>
      <c r="Q44">
        <v>3</v>
      </c>
      <c r="R44">
        <v>1</v>
      </c>
      <c r="S44">
        <v>3</v>
      </c>
      <c r="T44">
        <v>4</v>
      </c>
      <c r="U44">
        <v>0</v>
      </c>
      <c r="V44">
        <v>3</v>
      </c>
      <c r="W44" t="s">
        <v>55</v>
      </c>
      <c r="X44" t="s">
        <v>56</v>
      </c>
      <c r="Y44" t="s">
        <v>37</v>
      </c>
      <c r="Z44">
        <v>43</v>
      </c>
      <c r="AA44" t="s">
        <v>207</v>
      </c>
      <c r="AB44" t="str">
        <f t="shared" si="6"/>
        <v>Other</v>
      </c>
      <c r="AC44" t="s">
        <v>28</v>
      </c>
      <c r="AD44" t="str">
        <f t="shared" si="7"/>
        <v>none</v>
      </c>
      <c r="AE44" t="s">
        <v>39</v>
      </c>
      <c r="AF44" t="str">
        <f t="shared" si="8"/>
        <v>White or Caucasian</v>
      </c>
    </row>
    <row r="45" spans="1:32" x14ac:dyDescent="0.45">
      <c r="A45" t="s">
        <v>208</v>
      </c>
      <c r="B45" t="s">
        <v>25</v>
      </c>
      <c r="C45" s="3" t="s">
        <v>26</v>
      </c>
      <c r="D45" s="3">
        <f t="shared" si="0"/>
        <v>44840</v>
      </c>
      <c r="E45" t="s">
        <v>209</v>
      </c>
      <c r="F45" s="4">
        <f t="shared" si="1"/>
        <v>0.37361111111111112</v>
      </c>
      <c r="G45" t="s">
        <v>210</v>
      </c>
      <c r="H45" t="s">
        <v>123</v>
      </c>
      <c r="I45" t="str">
        <f t="shared" si="2"/>
        <v>None</v>
      </c>
      <c r="J45" t="s">
        <v>31</v>
      </c>
      <c r="K45" t="s">
        <v>53</v>
      </c>
      <c r="L45">
        <f t="shared" si="3"/>
        <v>20</v>
      </c>
      <c r="M45" t="s">
        <v>113</v>
      </c>
      <c r="N45" t="str">
        <f t="shared" si="4"/>
        <v>Construction</v>
      </c>
      <c r="O45" t="s">
        <v>34</v>
      </c>
      <c r="P45" t="str">
        <f t="shared" si="5"/>
        <v>Python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35</v>
      </c>
      <c r="X45" t="s">
        <v>70</v>
      </c>
      <c r="Y45" t="s">
        <v>37</v>
      </c>
      <c r="Z45">
        <v>23</v>
      </c>
      <c r="AA45" t="s">
        <v>211</v>
      </c>
      <c r="AB45" t="str">
        <f t="shared" si="6"/>
        <v>Other</v>
      </c>
      <c r="AC45" t="s">
        <v>28</v>
      </c>
      <c r="AD45" t="str">
        <f t="shared" si="7"/>
        <v>none</v>
      </c>
      <c r="AE45" t="s">
        <v>212</v>
      </c>
      <c r="AF45" t="str">
        <f t="shared" si="8"/>
        <v>Other</v>
      </c>
    </row>
    <row r="46" spans="1:32" x14ac:dyDescent="0.45">
      <c r="A46" t="s">
        <v>213</v>
      </c>
      <c r="B46" t="s">
        <v>25</v>
      </c>
      <c r="C46" s="3" t="s">
        <v>26</v>
      </c>
      <c r="D46" s="3">
        <f t="shared" si="0"/>
        <v>44840</v>
      </c>
      <c r="E46" t="s">
        <v>214</v>
      </c>
      <c r="F46" s="4">
        <f t="shared" si="1"/>
        <v>0.37430555555555556</v>
      </c>
      <c r="G46" t="s">
        <v>215</v>
      </c>
      <c r="H46" t="s">
        <v>123</v>
      </c>
      <c r="I46" t="str">
        <f t="shared" si="2"/>
        <v>None</v>
      </c>
      <c r="J46" t="s">
        <v>31</v>
      </c>
      <c r="K46" t="s">
        <v>53</v>
      </c>
      <c r="L46">
        <f t="shared" si="3"/>
        <v>20</v>
      </c>
      <c r="M46" t="s">
        <v>108</v>
      </c>
      <c r="N46" t="str">
        <f t="shared" si="4"/>
        <v>Education</v>
      </c>
      <c r="O46" t="s">
        <v>34</v>
      </c>
      <c r="P46" t="str">
        <f t="shared" si="5"/>
        <v>Python</v>
      </c>
      <c r="Q46">
        <v>5</v>
      </c>
      <c r="R46">
        <v>5</v>
      </c>
      <c r="S46">
        <v>3</v>
      </c>
      <c r="T46">
        <v>5</v>
      </c>
      <c r="U46">
        <v>2</v>
      </c>
      <c r="V46">
        <v>6</v>
      </c>
      <c r="W46" t="s">
        <v>69</v>
      </c>
      <c r="X46" t="s">
        <v>70</v>
      </c>
      <c r="Y46" t="s">
        <v>37</v>
      </c>
      <c r="Z46">
        <v>23</v>
      </c>
      <c r="AA46" t="s">
        <v>179</v>
      </c>
      <c r="AB46" t="str">
        <f t="shared" si="6"/>
        <v>Other</v>
      </c>
      <c r="AC46" t="s">
        <v>28</v>
      </c>
      <c r="AD46" t="str">
        <f t="shared" si="7"/>
        <v>none</v>
      </c>
      <c r="AE46" t="s">
        <v>48</v>
      </c>
      <c r="AF46" t="str">
        <f t="shared" si="8"/>
        <v>Asian or Asian American</v>
      </c>
    </row>
    <row r="47" spans="1:32" x14ac:dyDescent="0.45">
      <c r="A47" t="s">
        <v>216</v>
      </c>
      <c r="B47" t="s">
        <v>25</v>
      </c>
      <c r="C47" s="3" t="s">
        <v>26</v>
      </c>
      <c r="D47" s="3">
        <f t="shared" si="0"/>
        <v>44840</v>
      </c>
      <c r="E47" t="s">
        <v>214</v>
      </c>
      <c r="F47" s="4">
        <f t="shared" si="1"/>
        <v>0.37430555555555556</v>
      </c>
      <c r="G47" t="s">
        <v>217</v>
      </c>
      <c r="H47" t="s">
        <v>30</v>
      </c>
      <c r="I47" t="str">
        <f t="shared" si="2"/>
        <v>Data Analyst</v>
      </c>
      <c r="J47" t="s">
        <v>31</v>
      </c>
      <c r="K47" t="s">
        <v>87</v>
      </c>
      <c r="L47">
        <f t="shared" si="3"/>
        <v>95.5</v>
      </c>
      <c r="M47" t="s">
        <v>218</v>
      </c>
      <c r="N47" t="str">
        <f t="shared" si="4"/>
        <v>Other</v>
      </c>
      <c r="O47" t="s">
        <v>34</v>
      </c>
      <c r="P47" t="str">
        <f t="shared" si="5"/>
        <v>Python</v>
      </c>
      <c r="Q47">
        <v>8</v>
      </c>
      <c r="R47">
        <v>6</v>
      </c>
      <c r="S47">
        <v>2</v>
      </c>
      <c r="T47">
        <v>3</v>
      </c>
      <c r="U47">
        <v>6</v>
      </c>
      <c r="V47">
        <v>7</v>
      </c>
      <c r="W47" t="s">
        <v>85</v>
      </c>
      <c r="X47" t="s">
        <v>219</v>
      </c>
      <c r="Y47" t="s">
        <v>37</v>
      </c>
      <c r="Z47">
        <v>28</v>
      </c>
      <c r="AA47" t="s">
        <v>38</v>
      </c>
      <c r="AB47" t="str">
        <f t="shared" si="6"/>
        <v>United States</v>
      </c>
      <c r="AC47" t="s">
        <v>28</v>
      </c>
      <c r="AD47" t="str">
        <f t="shared" si="7"/>
        <v>none</v>
      </c>
      <c r="AE47" t="s">
        <v>39</v>
      </c>
      <c r="AF47" t="str">
        <f t="shared" si="8"/>
        <v>White or Caucasian</v>
      </c>
    </row>
    <row r="48" spans="1:32" x14ac:dyDescent="0.45">
      <c r="A48" t="s">
        <v>220</v>
      </c>
      <c r="B48" t="s">
        <v>25</v>
      </c>
      <c r="C48" s="3" t="s">
        <v>26</v>
      </c>
      <c r="D48" s="3">
        <f t="shared" si="0"/>
        <v>44840</v>
      </c>
      <c r="E48" t="s">
        <v>221</v>
      </c>
      <c r="F48" s="4">
        <f t="shared" si="1"/>
        <v>0.375</v>
      </c>
      <c r="G48" t="s">
        <v>81</v>
      </c>
      <c r="H48" t="s">
        <v>30</v>
      </c>
      <c r="I48" t="str">
        <f t="shared" si="2"/>
        <v>Data Analyst</v>
      </c>
      <c r="J48" t="s">
        <v>43</v>
      </c>
      <c r="K48" t="s">
        <v>94</v>
      </c>
      <c r="L48">
        <f t="shared" si="3"/>
        <v>75.5</v>
      </c>
      <c r="M48" t="s">
        <v>45</v>
      </c>
      <c r="N48" t="str">
        <f t="shared" si="4"/>
        <v>Finance</v>
      </c>
      <c r="O48" t="s">
        <v>84</v>
      </c>
      <c r="P48" t="str">
        <f t="shared" si="5"/>
        <v>Other</v>
      </c>
      <c r="Q48">
        <v>5</v>
      </c>
      <c r="R48">
        <v>7</v>
      </c>
      <c r="S48">
        <v>1</v>
      </c>
      <c r="T48">
        <v>1</v>
      </c>
      <c r="U48">
        <v>0</v>
      </c>
      <c r="V48">
        <v>8</v>
      </c>
      <c r="W48" t="s">
        <v>85</v>
      </c>
      <c r="X48" t="s">
        <v>70</v>
      </c>
      <c r="Y48" t="s">
        <v>37</v>
      </c>
      <c r="Z48">
        <v>32</v>
      </c>
      <c r="AA48" t="s">
        <v>38</v>
      </c>
      <c r="AB48" t="str">
        <f t="shared" si="6"/>
        <v>United States</v>
      </c>
      <c r="AC48" t="s">
        <v>28</v>
      </c>
      <c r="AD48" t="str">
        <f t="shared" si="7"/>
        <v>none</v>
      </c>
      <c r="AE48" t="s">
        <v>39</v>
      </c>
      <c r="AF48" t="str">
        <f t="shared" si="8"/>
        <v>White or Caucasian</v>
      </c>
    </row>
    <row r="49" spans="1:32" x14ac:dyDescent="0.45">
      <c r="A49" t="s">
        <v>222</v>
      </c>
      <c r="B49" t="s">
        <v>25</v>
      </c>
      <c r="C49" s="3" t="s">
        <v>26</v>
      </c>
      <c r="D49" s="3">
        <f t="shared" si="0"/>
        <v>44840</v>
      </c>
      <c r="E49" t="s">
        <v>223</v>
      </c>
      <c r="F49" s="4">
        <f t="shared" si="1"/>
        <v>0.37638888888888888</v>
      </c>
      <c r="G49" t="s">
        <v>224</v>
      </c>
      <c r="H49" t="s">
        <v>30</v>
      </c>
      <c r="I49" t="str">
        <f t="shared" si="2"/>
        <v>Data Analyst</v>
      </c>
      <c r="J49" t="s">
        <v>31</v>
      </c>
      <c r="K49" t="s">
        <v>94</v>
      </c>
      <c r="L49">
        <f t="shared" si="3"/>
        <v>75.5</v>
      </c>
      <c r="M49" t="s">
        <v>225</v>
      </c>
      <c r="N49" t="str">
        <f t="shared" si="4"/>
        <v>Other</v>
      </c>
      <c r="O49" t="s">
        <v>46</v>
      </c>
      <c r="P49" t="str">
        <f t="shared" si="5"/>
        <v>R</v>
      </c>
      <c r="Q49">
        <v>7</v>
      </c>
      <c r="R49">
        <v>8</v>
      </c>
      <c r="S49">
        <v>10</v>
      </c>
      <c r="T49">
        <v>8</v>
      </c>
      <c r="U49">
        <v>9</v>
      </c>
      <c r="V49">
        <v>9</v>
      </c>
      <c r="W49" t="s">
        <v>69</v>
      </c>
      <c r="X49" t="s">
        <v>36</v>
      </c>
      <c r="Y49" t="s">
        <v>65</v>
      </c>
      <c r="Z49">
        <v>41</v>
      </c>
      <c r="AA49" t="s">
        <v>38</v>
      </c>
      <c r="AB49" t="str">
        <f t="shared" si="6"/>
        <v>United States</v>
      </c>
      <c r="AC49" t="s">
        <v>28</v>
      </c>
      <c r="AD49" t="str">
        <f t="shared" si="7"/>
        <v>none</v>
      </c>
      <c r="AE49" t="s">
        <v>39</v>
      </c>
      <c r="AF49" t="str">
        <f t="shared" si="8"/>
        <v>White or Caucasian</v>
      </c>
    </row>
    <row r="50" spans="1:32" x14ac:dyDescent="0.45">
      <c r="A50" t="s">
        <v>226</v>
      </c>
      <c r="B50" t="s">
        <v>25</v>
      </c>
      <c r="C50" s="3" t="s">
        <v>26</v>
      </c>
      <c r="D50" s="3">
        <f t="shared" si="0"/>
        <v>44840</v>
      </c>
      <c r="E50" t="s">
        <v>223</v>
      </c>
      <c r="F50" s="4">
        <f t="shared" si="1"/>
        <v>0.37638888888888888</v>
      </c>
      <c r="G50" t="s">
        <v>189</v>
      </c>
      <c r="H50" t="s">
        <v>30</v>
      </c>
      <c r="I50" t="str">
        <f t="shared" si="2"/>
        <v>Data Analyst</v>
      </c>
      <c r="J50" t="s">
        <v>31</v>
      </c>
      <c r="K50" t="s">
        <v>44</v>
      </c>
      <c r="L50">
        <f t="shared" si="3"/>
        <v>53</v>
      </c>
      <c r="M50" t="s">
        <v>45</v>
      </c>
      <c r="N50" t="str">
        <f t="shared" si="4"/>
        <v>Finance</v>
      </c>
      <c r="O50" t="s">
        <v>34</v>
      </c>
      <c r="P50" t="str">
        <f t="shared" si="5"/>
        <v>Python</v>
      </c>
      <c r="Q50">
        <v>5</v>
      </c>
      <c r="R50">
        <v>6</v>
      </c>
      <c r="S50">
        <v>6</v>
      </c>
      <c r="T50">
        <v>6</v>
      </c>
      <c r="U50">
        <v>6</v>
      </c>
      <c r="V50">
        <v>6</v>
      </c>
      <c r="W50" t="s">
        <v>85</v>
      </c>
      <c r="X50" t="s">
        <v>36</v>
      </c>
      <c r="Y50" t="s">
        <v>37</v>
      </c>
      <c r="Z50">
        <v>33</v>
      </c>
      <c r="AA50" t="s">
        <v>109</v>
      </c>
      <c r="AB50" t="str">
        <f t="shared" si="6"/>
        <v>United Kingdom</v>
      </c>
      <c r="AC50" t="s">
        <v>227</v>
      </c>
      <c r="AD50" t="str">
        <f t="shared" si="7"/>
        <v>High School</v>
      </c>
      <c r="AE50" t="s">
        <v>39</v>
      </c>
      <c r="AF50" t="str">
        <f t="shared" si="8"/>
        <v>White or Caucasian</v>
      </c>
    </row>
    <row r="51" spans="1:32" x14ac:dyDescent="0.45">
      <c r="A51" t="s">
        <v>228</v>
      </c>
      <c r="B51" t="s">
        <v>25</v>
      </c>
      <c r="C51" s="3" t="s">
        <v>26</v>
      </c>
      <c r="D51" s="3">
        <f t="shared" si="0"/>
        <v>44840</v>
      </c>
      <c r="E51" t="s">
        <v>223</v>
      </c>
      <c r="F51" s="4">
        <f t="shared" si="1"/>
        <v>0.37638888888888888</v>
      </c>
      <c r="G51" t="s">
        <v>229</v>
      </c>
      <c r="H51" t="s">
        <v>230</v>
      </c>
      <c r="I51" t="str">
        <f t="shared" si="2"/>
        <v>Other</v>
      </c>
      <c r="J51" t="s">
        <v>31</v>
      </c>
      <c r="K51" t="s">
        <v>63</v>
      </c>
      <c r="L51">
        <f t="shared" si="3"/>
        <v>187.5</v>
      </c>
      <c r="M51" t="s">
        <v>103</v>
      </c>
      <c r="N51" t="str">
        <f t="shared" si="4"/>
        <v>Tech</v>
      </c>
      <c r="O51" t="s">
        <v>34</v>
      </c>
      <c r="P51" t="str">
        <f t="shared" si="5"/>
        <v>Python</v>
      </c>
      <c r="Q51">
        <v>10</v>
      </c>
      <c r="R51">
        <v>8</v>
      </c>
      <c r="S51">
        <v>9</v>
      </c>
      <c r="T51">
        <v>8</v>
      </c>
      <c r="U51">
        <v>8</v>
      </c>
      <c r="V51">
        <v>10</v>
      </c>
      <c r="W51" t="s">
        <v>55</v>
      </c>
      <c r="X51" t="s">
        <v>56</v>
      </c>
      <c r="Y51" t="s">
        <v>37</v>
      </c>
      <c r="Z51">
        <v>38</v>
      </c>
      <c r="AA51" t="s">
        <v>38</v>
      </c>
      <c r="AB51" t="str">
        <f t="shared" si="6"/>
        <v>United States</v>
      </c>
      <c r="AC51" t="s">
        <v>28</v>
      </c>
      <c r="AD51" t="str">
        <f t="shared" si="7"/>
        <v>none</v>
      </c>
      <c r="AE51" t="s">
        <v>91</v>
      </c>
      <c r="AF51" t="str">
        <f t="shared" si="8"/>
        <v>Hispanic or Latino</v>
      </c>
    </row>
    <row r="52" spans="1:32" x14ac:dyDescent="0.45">
      <c r="A52" t="s">
        <v>231</v>
      </c>
      <c r="B52" t="s">
        <v>25</v>
      </c>
      <c r="C52" s="3" t="s">
        <v>26</v>
      </c>
      <c r="D52" s="3">
        <f t="shared" si="0"/>
        <v>44840</v>
      </c>
      <c r="E52" t="s">
        <v>223</v>
      </c>
      <c r="F52" s="4">
        <f t="shared" si="1"/>
        <v>0.37638888888888888</v>
      </c>
      <c r="G52" t="s">
        <v>206</v>
      </c>
      <c r="H52" t="s">
        <v>30</v>
      </c>
      <c r="I52" t="str">
        <f t="shared" si="2"/>
        <v>Data Analyst</v>
      </c>
      <c r="J52" t="s">
        <v>43</v>
      </c>
      <c r="K52" t="s">
        <v>53</v>
      </c>
      <c r="L52">
        <f t="shared" si="3"/>
        <v>20</v>
      </c>
      <c r="M52" t="s">
        <v>103</v>
      </c>
      <c r="N52" t="str">
        <f t="shared" si="4"/>
        <v>Tech</v>
      </c>
      <c r="O52" t="s">
        <v>187</v>
      </c>
      <c r="P52" t="str">
        <f t="shared" si="5"/>
        <v>Other</v>
      </c>
      <c r="Q52">
        <v>8</v>
      </c>
      <c r="R52">
        <v>8</v>
      </c>
      <c r="S52">
        <v>8</v>
      </c>
      <c r="T52">
        <v>8</v>
      </c>
      <c r="U52">
        <v>5</v>
      </c>
      <c r="V52">
        <v>10</v>
      </c>
      <c r="W52" t="s">
        <v>55</v>
      </c>
      <c r="X52" t="s">
        <v>70</v>
      </c>
      <c r="Y52" t="s">
        <v>65</v>
      </c>
      <c r="Z52">
        <v>22</v>
      </c>
      <c r="AA52" t="s">
        <v>147</v>
      </c>
      <c r="AB52" t="str">
        <f t="shared" si="6"/>
        <v>India</v>
      </c>
      <c r="AC52" t="s">
        <v>28</v>
      </c>
      <c r="AD52" t="str">
        <f t="shared" si="7"/>
        <v>none</v>
      </c>
      <c r="AE52" t="s">
        <v>200</v>
      </c>
      <c r="AF52" t="str">
        <f t="shared" si="8"/>
        <v>Other</v>
      </c>
    </row>
    <row r="53" spans="1:32" x14ac:dyDescent="0.45">
      <c r="A53" t="s">
        <v>232</v>
      </c>
      <c r="B53" t="s">
        <v>25</v>
      </c>
      <c r="C53" s="3" t="s">
        <v>26</v>
      </c>
      <c r="D53" s="3">
        <f t="shared" si="0"/>
        <v>44840</v>
      </c>
      <c r="E53" t="s">
        <v>233</v>
      </c>
      <c r="F53" s="4">
        <f t="shared" si="1"/>
        <v>0.37708333333333333</v>
      </c>
      <c r="G53" t="s">
        <v>234</v>
      </c>
      <c r="H53" t="s">
        <v>123</v>
      </c>
      <c r="I53" t="str">
        <f t="shared" si="2"/>
        <v>None</v>
      </c>
      <c r="J53" t="s">
        <v>31</v>
      </c>
      <c r="K53" t="s">
        <v>53</v>
      </c>
      <c r="L53">
        <f t="shared" si="3"/>
        <v>20</v>
      </c>
      <c r="M53" t="s">
        <v>235</v>
      </c>
      <c r="N53" t="str">
        <f t="shared" si="4"/>
        <v>Other</v>
      </c>
      <c r="O53" t="s">
        <v>46</v>
      </c>
      <c r="P53" t="str">
        <f t="shared" si="5"/>
        <v>R</v>
      </c>
      <c r="Q53">
        <v>1</v>
      </c>
      <c r="R53">
        <v>3</v>
      </c>
      <c r="S53">
        <v>6</v>
      </c>
      <c r="T53">
        <v>6</v>
      </c>
      <c r="U53">
        <v>6</v>
      </c>
      <c r="V53">
        <v>9</v>
      </c>
      <c r="W53" t="s">
        <v>69</v>
      </c>
      <c r="X53" t="s">
        <v>36</v>
      </c>
      <c r="Y53" t="s">
        <v>37</v>
      </c>
      <c r="Z53">
        <v>36</v>
      </c>
      <c r="AA53" t="s">
        <v>236</v>
      </c>
      <c r="AB53" t="str">
        <f t="shared" si="6"/>
        <v>Other</v>
      </c>
      <c r="AC53" t="s">
        <v>237</v>
      </c>
      <c r="AD53" t="str">
        <f t="shared" si="7"/>
        <v>Bachelors</v>
      </c>
      <c r="AE53" t="s">
        <v>58</v>
      </c>
      <c r="AF53" t="str">
        <f t="shared" si="8"/>
        <v>Black or African American</v>
      </c>
    </row>
    <row r="54" spans="1:32" x14ac:dyDescent="0.45">
      <c r="A54" t="s">
        <v>238</v>
      </c>
      <c r="B54" t="s">
        <v>25</v>
      </c>
      <c r="C54" s="3" t="s">
        <v>26</v>
      </c>
      <c r="D54" s="3">
        <f t="shared" si="0"/>
        <v>44840</v>
      </c>
      <c r="E54" t="s">
        <v>233</v>
      </c>
      <c r="F54" s="4">
        <f t="shared" si="1"/>
        <v>0.37708333333333333</v>
      </c>
      <c r="G54" t="s">
        <v>239</v>
      </c>
      <c r="H54" t="s">
        <v>52</v>
      </c>
      <c r="I54" t="str">
        <f t="shared" si="2"/>
        <v>Data Engineer</v>
      </c>
      <c r="J54" t="s">
        <v>43</v>
      </c>
      <c r="K54" t="s">
        <v>94</v>
      </c>
      <c r="L54">
        <f t="shared" si="3"/>
        <v>75.5</v>
      </c>
      <c r="M54" t="s">
        <v>45</v>
      </c>
      <c r="N54" t="str">
        <f t="shared" si="4"/>
        <v>Finance</v>
      </c>
      <c r="O54" t="s">
        <v>34</v>
      </c>
      <c r="P54" t="str">
        <f t="shared" si="5"/>
        <v>Python</v>
      </c>
      <c r="Q54">
        <v>2</v>
      </c>
      <c r="R54">
        <v>1</v>
      </c>
      <c r="S54">
        <v>1</v>
      </c>
      <c r="T54">
        <v>1</v>
      </c>
      <c r="U54">
        <v>3</v>
      </c>
      <c r="V54">
        <v>7</v>
      </c>
      <c r="W54" t="s">
        <v>55</v>
      </c>
      <c r="X54" t="s">
        <v>36</v>
      </c>
      <c r="Y54" t="s">
        <v>65</v>
      </c>
      <c r="Z54">
        <v>28</v>
      </c>
      <c r="AA54" t="s">
        <v>38</v>
      </c>
      <c r="AB54" t="str">
        <f t="shared" si="6"/>
        <v>United States</v>
      </c>
      <c r="AC54" t="s">
        <v>240</v>
      </c>
      <c r="AD54" t="str">
        <f t="shared" si="7"/>
        <v>Masters</v>
      </c>
      <c r="AE54" t="s">
        <v>48</v>
      </c>
      <c r="AF54" t="str">
        <f t="shared" si="8"/>
        <v>Asian or Asian American</v>
      </c>
    </row>
    <row r="55" spans="1:32" x14ac:dyDescent="0.45">
      <c r="A55" t="s">
        <v>241</v>
      </c>
      <c r="B55" t="s">
        <v>25</v>
      </c>
      <c r="C55" s="3" t="s">
        <v>26</v>
      </c>
      <c r="D55" s="3">
        <f t="shared" si="0"/>
        <v>44840</v>
      </c>
      <c r="E55" t="s">
        <v>242</v>
      </c>
      <c r="F55" s="4">
        <f t="shared" si="1"/>
        <v>0.37847222222222221</v>
      </c>
      <c r="G55" t="s">
        <v>243</v>
      </c>
      <c r="H55" t="s">
        <v>123</v>
      </c>
      <c r="I55" t="str">
        <f t="shared" si="2"/>
        <v>None</v>
      </c>
      <c r="J55" t="s">
        <v>31</v>
      </c>
      <c r="K55" t="s">
        <v>53</v>
      </c>
      <c r="L55">
        <f t="shared" si="3"/>
        <v>20</v>
      </c>
      <c r="M55" t="s">
        <v>244</v>
      </c>
      <c r="N55" t="str">
        <f t="shared" si="4"/>
        <v>Other</v>
      </c>
      <c r="O55" t="s">
        <v>245</v>
      </c>
      <c r="P55" t="str">
        <f t="shared" si="5"/>
        <v>Other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>
        <v>7</v>
      </c>
      <c r="W55" t="s">
        <v>64</v>
      </c>
      <c r="X55" t="s">
        <v>246</v>
      </c>
      <c r="Y55" t="s">
        <v>37</v>
      </c>
      <c r="Z55">
        <v>30</v>
      </c>
      <c r="AA55" t="s">
        <v>247</v>
      </c>
      <c r="AB55" t="str">
        <f t="shared" si="6"/>
        <v>Other</v>
      </c>
      <c r="AC55" t="s">
        <v>28</v>
      </c>
      <c r="AD55" t="str">
        <f t="shared" si="7"/>
        <v>none</v>
      </c>
      <c r="AE55" t="s">
        <v>248</v>
      </c>
      <c r="AF55" t="str">
        <f t="shared" si="8"/>
        <v>Other</v>
      </c>
    </row>
    <row r="56" spans="1:32" x14ac:dyDescent="0.45">
      <c r="A56" t="s">
        <v>249</v>
      </c>
      <c r="B56" t="s">
        <v>25</v>
      </c>
      <c r="C56" s="3" t="s">
        <v>26</v>
      </c>
      <c r="D56" s="3">
        <f t="shared" si="0"/>
        <v>44840</v>
      </c>
      <c r="E56" t="s">
        <v>242</v>
      </c>
      <c r="F56" s="4">
        <f t="shared" si="1"/>
        <v>0.37847222222222221</v>
      </c>
      <c r="G56" t="s">
        <v>250</v>
      </c>
      <c r="H56" t="s">
        <v>30</v>
      </c>
      <c r="I56" t="str">
        <f t="shared" si="2"/>
        <v>Data Analyst</v>
      </c>
      <c r="J56" t="s">
        <v>31</v>
      </c>
      <c r="K56" t="s">
        <v>94</v>
      </c>
      <c r="L56">
        <f t="shared" si="3"/>
        <v>75.5</v>
      </c>
      <c r="M56" t="s">
        <v>103</v>
      </c>
      <c r="N56" t="str">
        <f t="shared" si="4"/>
        <v>Tech</v>
      </c>
      <c r="O56" t="s">
        <v>34</v>
      </c>
      <c r="P56" t="str">
        <f t="shared" si="5"/>
        <v>Python</v>
      </c>
      <c r="Q56">
        <v>6</v>
      </c>
      <c r="R56">
        <v>6</v>
      </c>
      <c r="S56">
        <v>6</v>
      </c>
      <c r="T56">
        <v>6</v>
      </c>
      <c r="U56">
        <v>5</v>
      </c>
      <c r="V56">
        <v>6</v>
      </c>
      <c r="W56" t="s">
        <v>69</v>
      </c>
      <c r="X56" t="s">
        <v>251</v>
      </c>
      <c r="Y56" t="s">
        <v>65</v>
      </c>
      <c r="Z56">
        <v>24</v>
      </c>
      <c r="AA56" t="s">
        <v>38</v>
      </c>
      <c r="AB56" t="str">
        <f t="shared" si="6"/>
        <v>United States</v>
      </c>
      <c r="AC56" t="s">
        <v>237</v>
      </c>
      <c r="AD56" t="str">
        <f t="shared" si="7"/>
        <v>Bachelors</v>
      </c>
      <c r="AE56" t="s">
        <v>91</v>
      </c>
      <c r="AF56" t="str">
        <f t="shared" si="8"/>
        <v>Hispanic or Latino</v>
      </c>
    </row>
    <row r="57" spans="1:32" x14ac:dyDescent="0.45">
      <c r="A57" t="s">
        <v>252</v>
      </c>
      <c r="B57" t="s">
        <v>25</v>
      </c>
      <c r="C57" s="3" t="s">
        <v>26</v>
      </c>
      <c r="D57" s="3">
        <f t="shared" si="0"/>
        <v>44840</v>
      </c>
      <c r="E57" t="s">
        <v>253</v>
      </c>
      <c r="F57" s="4">
        <f t="shared" si="1"/>
        <v>0.37916666666666665</v>
      </c>
      <c r="G57" t="s">
        <v>254</v>
      </c>
      <c r="H57" t="s">
        <v>255</v>
      </c>
      <c r="I57" t="str">
        <f t="shared" si="2"/>
        <v>Other</v>
      </c>
      <c r="J57" t="s">
        <v>43</v>
      </c>
      <c r="K57" t="s">
        <v>44</v>
      </c>
      <c r="L57">
        <f t="shared" si="3"/>
        <v>53</v>
      </c>
      <c r="M57" t="s">
        <v>256</v>
      </c>
      <c r="N57" t="str">
        <f t="shared" si="4"/>
        <v>Other</v>
      </c>
      <c r="O57" t="s">
        <v>257</v>
      </c>
      <c r="P57" t="str">
        <f t="shared" si="5"/>
        <v>C/C++</v>
      </c>
      <c r="Q57">
        <v>3</v>
      </c>
      <c r="R57">
        <v>6</v>
      </c>
      <c r="S57">
        <v>7</v>
      </c>
      <c r="T57">
        <v>7</v>
      </c>
      <c r="U57">
        <v>0</v>
      </c>
      <c r="V57">
        <v>3</v>
      </c>
      <c r="W57" t="s">
        <v>35</v>
      </c>
      <c r="X57" t="s">
        <v>70</v>
      </c>
      <c r="Y57" t="s">
        <v>37</v>
      </c>
      <c r="Z57">
        <v>29</v>
      </c>
      <c r="AA57" t="s">
        <v>38</v>
      </c>
      <c r="AB57" t="str">
        <f t="shared" si="6"/>
        <v>United States</v>
      </c>
      <c r="AC57" t="s">
        <v>237</v>
      </c>
      <c r="AD57" t="str">
        <f t="shared" si="7"/>
        <v>Bachelors</v>
      </c>
      <c r="AE57" t="s">
        <v>39</v>
      </c>
      <c r="AF57" t="str">
        <f t="shared" si="8"/>
        <v>White or Caucasian</v>
      </c>
    </row>
    <row r="58" spans="1:32" x14ac:dyDescent="0.45">
      <c r="A58" t="s">
        <v>258</v>
      </c>
      <c r="B58" t="s">
        <v>25</v>
      </c>
      <c r="C58" s="3" t="s">
        <v>26</v>
      </c>
      <c r="D58" s="3">
        <f t="shared" si="0"/>
        <v>44840</v>
      </c>
      <c r="E58" t="s">
        <v>259</v>
      </c>
      <c r="F58" s="4">
        <f t="shared" si="1"/>
        <v>0.37986111111111109</v>
      </c>
      <c r="G58" t="s">
        <v>260</v>
      </c>
      <c r="H58" t="s">
        <v>30</v>
      </c>
      <c r="I58" t="str">
        <f t="shared" si="2"/>
        <v>Data Analyst</v>
      </c>
      <c r="J58" t="s">
        <v>43</v>
      </c>
      <c r="K58" t="s">
        <v>53</v>
      </c>
      <c r="L58">
        <f t="shared" si="3"/>
        <v>20</v>
      </c>
      <c r="M58" t="s">
        <v>103</v>
      </c>
      <c r="N58" t="str">
        <f t="shared" si="4"/>
        <v>Tech</v>
      </c>
      <c r="O58" t="s">
        <v>34</v>
      </c>
      <c r="P58" t="str">
        <f t="shared" si="5"/>
        <v>Python</v>
      </c>
      <c r="Q58">
        <v>4</v>
      </c>
      <c r="R58">
        <v>9</v>
      </c>
      <c r="S58">
        <v>10</v>
      </c>
      <c r="T58">
        <v>9</v>
      </c>
      <c r="U58">
        <v>9</v>
      </c>
      <c r="V58">
        <v>10</v>
      </c>
      <c r="W58" t="s">
        <v>55</v>
      </c>
      <c r="X58" t="s">
        <v>70</v>
      </c>
      <c r="Y58" t="s">
        <v>37</v>
      </c>
      <c r="Z58">
        <v>29</v>
      </c>
      <c r="AA58" t="s">
        <v>261</v>
      </c>
      <c r="AB58" t="str">
        <f t="shared" si="6"/>
        <v>Other</v>
      </c>
      <c r="AC58" t="s">
        <v>262</v>
      </c>
      <c r="AD58" t="str">
        <f t="shared" si="7"/>
        <v>Associates</v>
      </c>
      <c r="AE58" t="s">
        <v>91</v>
      </c>
      <c r="AF58" t="str">
        <f t="shared" si="8"/>
        <v>Hispanic or Latino</v>
      </c>
    </row>
    <row r="59" spans="1:32" x14ac:dyDescent="0.45">
      <c r="A59" t="s">
        <v>263</v>
      </c>
      <c r="B59" t="s">
        <v>25</v>
      </c>
      <c r="C59" s="3" t="s">
        <v>26</v>
      </c>
      <c r="D59" s="3">
        <f t="shared" si="0"/>
        <v>44840</v>
      </c>
      <c r="E59" t="s">
        <v>264</v>
      </c>
      <c r="F59" s="4">
        <f t="shared" si="1"/>
        <v>0.38055555555555554</v>
      </c>
      <c r="G59" t="s">
        <v>265</v>
      </c>
      <c r="H59" t="s">
        <v>266</v>
      </c>
      <c r="I59" t="str">
        <f t="shared" si="2"/>
        <v>Other</v>
      </c>
      <c r="J59" t="s">
        <v>31</v>
      </c>
      <c r="K59" t="s">
        <v>44</v>
      </c>
      <c r="L59">
        <f t="shared" si="3"/>
        <v>53</v>
      </c>
      <c r="M59" t="s">
        <v>178</v>
      </c>
      <c r="N59" t="str">
        <f t="shared" si="4"/>
        <v>Other</v>
      </c>
      <c r="O59" t="s">
        <v>34</v>
      </c>
      <c r="P59" t="str">
        <f t="shared" si="5"/>
        <v>Python</v>
      </c>
      <c r="Q59">
        <v>6</v>
      </c>
      <c r="R59">
        <v>8</v>
      </c>
      <c r="S59">
        <v>8</v>
      </c>
      <c r="T59">
        <v>7</v>
      </c>
      <c r="U59">
        <v>9</v>
      </c>
      <c r="V59">
        <v>7</v>
      </c>
      <c r="W59" t="s">
        <v>85</v>
      </c>
      <c r="X59" t="s">
        <v>56</v>
      </c>
      <c r="Y59" t="s">
        <v>37</v>
      </c>
      <c r="Z59">
        <v>38</v>
      </c>
      <c r="AA59" t="s">
        <v>267</v>
      </c>
      <c r="AB59" t="str">
        <f t="shared" si="6"/>
        <v>Other</v>
      </c>
      <c r="AC59" t="s">
        <v>240</v>
      </c>
      <c r="AD59" t="str">
        <f t="shared" si="7"/>
        <v>Masters</v>
      </c>
      <c r="AE59" t="s">
        <v>39</v>
      </c>
      <c r="AF59" t="str">
        <f t="shared" si="8"/>
        <v>White or Caucasian</v>
      </c>
    </row>
    <row r="60" spans="1:32" x14ac:dyDescent="0.45">
      <c r="A60" t="s">
        <v>268</v>
      </c>
      <c r="B60" t="s">
        <v>25</v>
      </c>
      <c r="C60" s="3" t="s">
        <v>26</v>
      </c>
      <c r="D60" s="3">
        <f t="shared" si="0"/>
        <v>44840</v>
      </c>
      <c r="E60" t="s">
        <v>264</v>
      </c>
      <c r="F60" s="4">
        <f t="shared" si="1"/>
        <v>0.38055555555555554</v>
      </c>
      <c r="G60" t="s">
        <v>269</v>
      </c>
      <c r="H60" t="s">
        <v>30</v>
      </c>
      <c r="I60" t="str">
        <f t="shared" si="2"/>
        <v>Data Analyst</v>
      </c>
      <c r="J60" t="s">
        <v>31</v>
      </c>
      <c r="K60" t="s">
        <v>53</v>
      </c>
      <c r="L60">
        <f t="shared" si="3"/>
        <v>20</v>
      </c>
      <c r="M60" t="s">
        <v>45</v>
      </c>
      <c r="N60" t="str">
        <f t="shared" si="4"/>
        <v>Finance</v>
      </c>
      <c r="O60" t="s">
        <v>270</v>
      </c>
      <c r="P60" t="str">
        <f t="shared" si="5"/>
        <v>Other</v>
      </c>
      <c r="Q60">
        <v>3</v>
      </c>
      <c r="R60">
        <v>5</v>
      </c>
      <c r="S60">
        <v>4</v>
      </c>
      <c r="T60">
        <v>3</v>
      </c>
      <c r="U60">
        <v>3</v>
      </c>
      <c r="V60">
        <v>3</v>
      </c>
      <c r="W60" t="s">
        <v>69</v>
      </c>
      <c r="X60" t="s">
        <v>56</v>
      </c>
      <c r="Y60" t="s">
        <v>37</v>
      </c>
      <c r="Z60">
        <v>31</v>
      </c>
      <c r="AA60" t="s">
        <v>271</v>
      </c>
      <c r="AB60" t="str">
        <f t="shared" si="6"/>
        <v>Other</v>
      </c>
      <c r="AC60" t="s">
        <v>240</v>
      </c>
      <c r="AD60" t="str">
        <f t="shared" si="7"/>
        <v>Masters</v>
      </c>
      <c r="AE60" t="s">
        <v>39</v>
      </c>
      <c r="AF60" t="str">
        <f t="shared" si="8"/>
        <v>White or Caucasian</v>
      </c>
    </row>
    <row r="61" spans="1:32" x14ac:dyDescent="0.45">
      <c r="A61" t="s">
        <v>272</v>
      </c>
      <c r="B61" t="s">
        <v>25</v>
      </c>
      <c r="C61" s="3" t="s">
        <v>26</v>
      </c>
      <c r="D61" s="3">
        <f t="shared" si="0"/>
        <v>44840</v>
      </c>
      <c r="E61" t="s">
        <v>273</v>
      </c>
      <c r="F61" s="4">
        <f t="shared" si="1"/>
        <v>0.38124999999999998</v>
      </c>
      <c r="G61" t="s">
        <v>186</v>
      </c>
      <c r="H61" t="s">
        <v>123</v>
      </c>
      <c r="I61" t="str">
        <f t="shared" si="2"/>
        <v>None</v>
      </c>
      <c r="J61" t="s">
        <v>43</v>
      </c>
      <c r="K61" t="s">
        <v>53</v>
      </c>
      <c r="L61">
        <f t="shared" si="3"/>
        <v>20</v>
      </c>
      <c r="M61" t="s">
        <v>103</v>
      </c>
      <c r="N61" t="str">
        <f t="shared" si="4"/>
        <v>Tech</v>
      </c>
      <c r="O61" t="s">
        <v>34</v>
      </c>
      <c r="P61" t="str">
        <f t="shared" si="5"/>
        <v>Python</v>
      </c>
      <c r="Q61">
        <v>1</v>
      </c>
      <c r="R61">
        <v>4</v>
      </c>
      <c r="S61">
        <v>5</v>
      </c>
      <c r="T61">
        <v>5</v>
      </c>
      <c r="U61">
        <v>1</v>
      </c>
      <c r="V61">
        <v>1</v>
      </c>
      <c r="W61" t="s">
        <v>69</v>
      </c>
      <c r="X61" t="s">
        <v>70</v>
      </c>
      <c r="Y61" t="s">
        <v>37</v>
      </c>
      <c r="Z61">
        <v>25</v>
      </c>
      <c r="AA61" t="s">
        <v>38</v>
      </c>
      <c r="AB61" t="str">
        <f t="shared" si="6"/>
        <v>United States</v>
      </c>
      <c r="AC61" t="s">
        <v>240</v>
      </c>
      <c r="AD61" t="str">
        <f t="shared" si="7"/>
        <v>Masters</v>
      </c>
      <c r="AE61" t="s">
        <v>39</v>
      </c>
      <c r="AF61" t="str">
        <f t="shared" si="8"/>
        <v>White or Caucasian</v>
      </c>
    </row>
    <row r="62" spans="1:32" x14ac:dyDescent="0.45">
      <c r="A62" t="s">
        <v>274</v>
      </c>
      <c r="B62" t="s">
        <v>25</v>
      </c>
      <c r="C62" s="3" t="s">
        <v>26</v>
      </c>
      <c r="D62" s="3">
        <f t="shared" si="0"/>
        <v>44840</v>
      </c>
      <c r="E62" t="s">
        <v>273</v>
      </c>
      <c r="F62" s="4">
        <f t="shared" si="1"/>
        <v>0.38124999999999998</v>
      </c>
      <c r="G62" t="s">
        <v>275</v>
      </c>
      <c r="H62" t="s">
        <v>30</v>
      </c>
      <c r="I62" t="str">
        <f t="shared" si="2"/>
        <v>Data Analyst</v>
      </c>
      <c r="J62" t="s">
        <v>43</v>
      </c>
      <c r="K62" t="s">
        <v>94</v>
      </c>
      <c r="L62">
        <f t="shared" si="3"/>
        <v>75.5</v>
      </c>
      <c r="M62" t="s">
        <v>90</v>
      </c>
      <c r="N62" t="str">
        <f t="shared" si="4"/>
        <v>Telecommunication</v>
      </c>
      <c r="O62" t="s">
        <v>34</v>
      </c>
      <c r="P62" t="str">
        <f t="shared" si="5"/>
        <v>Python</v>
      </c>
      <c r="Q62">
        <v>4</v>
      </c>
      <c r="R62">
        <v>6</v>
      </c>
      <c r="S62">
        <v>4</v>
      </c>
      <c r="T62">
        <v>5</v>
      </c>
      <c r="U62">
        <v>4</v>
      </c>
      <c r="V62">
        <v>4</v>
      </c>
      <c r="W62" t="s">
        <v>85</v>
      </c>
      <c r="X62" t="s">
        <v>70</v>
      </c>
      <c r="Y62" t="s">
        <v>37</v>
      </c>
      <c r="Z62">
        <v>24</v>
      </c>
      <c r="AA62" t="s">
        <v>38</v>
      </c>
      <c r="AB62" t="str">
        <f t="shared" si="6"/>
        <v>United States</v>
      </c>
      <c r="AC62" t="s">
        <v>240</v>
      </c>
      <c r="AD62" t="str">
        <f t="shared" si="7"/>
        <v>Masters</v>
      </c>
      <c r="AE62" t="s">
        <v>39</v>
      </c>
      <c r="AF62" t="str">
        <f t="shared" si="8"/>
        <v>White or Caucasian</v>
      </c>
    </row>
    <row r="63" spans="1:32" x14ac:dyDescent="0.45">
      <c r="A63" t="s">
        <v>276</v>
      </c>
      <c r="B63" t="s">
        <v>25</v>
      </c>
      <c r="C63" s="3" t="s">
        <v>26</v>
      </c>
      <c r="D63" s="3">
        <f t="shared" si="0"/>
        <v>44840</v>
      </c>
      <c r="E63" t="s">
        <v>277</v>
      </c>
      <c r="F63" s="4">
        <f t="shared" si="1"/>
        <v>0.38333333333333336</v>
      </c>
      <c r="G63" t="s">
        <v>278</v>
      </c>
      <c r="H63" t="s">
        <v>279</v>
      </c>
      <c r="I63" t="str">
        <f t="shared" si="2"/>
        <v>Other</v>
      </c>
      <c r="J63" t="s">
        <v>31</v>
      </c>
      <c r="K63" t="s">
        <v>44</v>
      </c>
      <c r="L63">
        <f t="shared" si="3"/>
        <v>53</v>
      </c>
      <c r="M63" t="s">
        <v>103</v>
      </c>
      <c r="N63" t="str">
        <f t="shared" si="4"/>
        <v>Tech</v>
      </c>
      <c r="O63" t="s">
        <v>34</v>
      </c>
      <c r="P63" t="str">
        <f t="shared" si="5"/>
        <v>Python</v>
      </c>
      <c r="Q63">
        <v>6</v>
      </c>
      <c r="R63">
        <v>7</v>
      </c>
      <c r="S63">
        <v>4</v>
      </c>
      <c r="T63">
        <v>3</v>
      </c>
      <c r="U63">
        <v>9</v>
      </c>
      <c r="V63">
        <v>8</v>
      </c>
      <c r="W63" t="s">
        <v>69</v>
      </c>
      <c r="X63" t="s">
        <v>70</v>
      </c>
      <c r="Y63" t="s">
        <v>37</v>
      </c>
      <c r="Z63">
        <v>28</v>
      </c>
      <c r="AA63" t="s">
        <v>280</v>
      </c>
      <c r="AB63" t="str">
        <f t="shared" si="6"/>
        <v>Other</v>
      </c>
      <c r="AC63" t="s">
        <v>237</v>
      </c>
      <c r="AD63" t="str">
        <f t="shared" si="7"/>
        <v>Bachelors</v>
      </c>
      <c r="AE63" t="s">
        <v>39</v>
      </c>
      <c r="AF63" t="str">
        <f t="shared" si="8"/>
        <v>White or Caucasian</v>
      </c>
    </row>
    <row r="64" spans="1:32" x14ac:dyDescent="0.45">
      <c r="A64" t="s">
        <v>281</v>
      </c>
      <c r="B64" t="s">
        <v>25</v>
      </c>
      <c r="C64" s="3" t="s">
        <v>26</v>
      </c>
      <c r="D64" s="3">
        <f t="shared" si="0"/>
        <v>44840</v>
      </c>
      <c r="E64" t="s">
        <v>282</v>
      </c>
      <c r="F64" s="4">
        <f t="shared" si="1"/>
        <v>0.3840277777777778</v>
      </c>
      <c r="G64" t="s">
        <v>283</v>
      </c>
      <c r="H64" t="s">
        <v>123</v>
      </c>
      <c r="I64" t="str">
        <f t="shared" si="2"/>
        <v>None</v>
      </c>
      <c r="J64" t="s">
        <v>43</v>
      </c>
      <c r="K64" t="s">
        <v>53</v>
      </c>
      <c r="L64">
        <f t="shared" si="3"/>
        <v>20</v>
      </c>
      <c r="M64" t="s">
        <v>103</v>
      </c>
      <c r="N64" t="str">
        <f t="shared" si="4"/>
        <v>Tech</v>
      </c>
      <c r="O64" t="s">
        <v>34</v>
      </c>
      <c r="P64" t="str">
        <f t="shared" si="5"/>
        <v>Python</v>
      </c>
      <c r="Q64">
        <v>7</v>
      </c>
      <c r="R64">
        <v>5</v>
      </c>
      <c r="S64">
        <v>8</v>
      </c>
      <c r="T64">
        <v>0</v>
      </c>
      <c r="U64">
        <v>0</v>
      </c>
      <c r="V64">
        <v>0</v>
      </c>
      <c r="W64" t="s">
        <v>85</v>
      </c>
      <c r="X64" t="s">
        <v>114</v>
      </c>
      <c r="Y64" t="s">
        <v>65</v>
      </c>
      <c r="Z64">
        <v>23</v>
      </c>
      <c r="AA64" t="s">
        <v>147</v>
      </c>
      <c r="AB64" t="str">
        <f t="shared" si="6"/>
        <v>India</v>
      </c>
      <c r="AC64" t="s">
        <v>237</v>
      </c>
      <c r="AD64" t="str">
        <f t="shared" si="7"/>
        <v>Bachelors</v>
      </c>
      <c r="AE64" t="s">
        <v>48</v>
      </c>
      <c r="AF64" t="str">
        <f t="shared" si="8"/>
        <v>Asian or Asian American</v>
      </c>
    </row>
    <row r="65" spans="1:32" x14ac:dyDescent="0.45">
      <c r="A65" t="s">
        <v>284</v>
      </c>
      <c r="B65" t="s">
        <v>25</v>
      </c>
      <c r="C65" s="3" t="s">
        <v>26</v>
      </c>
      <c r="D65" s="3">
        <f t="shared" si="0"/>
        <v>44840</v>
      </c>
      <c r="E65" t="s">
        <v>282</v>
      </c>
      <c r="F65" s="4">
        <f t="shared" si="1"/>
        <v>0.3840277777777778</v>
      </c>
      <c r="G65" t="s">
        <v>285</v>
      </c>
      <c r="H65" t="s">
        <v>52</v>
      </c>
      <c r="I65" t="str">
        <f t="shared" si="2"/>
        <v>Data Engineer</v>
      </c>
      <c r="J65" t="s">
        <v>43</v>
      </c>
      <c r="K65" t="s">
        <v>53</v>
      </c>
      <c r="L65">
        <f t="shared" si="3"/>
        <v>20</v>
      </c>
      <c r="M65" t="s">
        <v>103</v>
      </c>
      <c r="N65" t="str">
        <f t="shared" si="4"/>
        <v>Tech</v>
      </c>
      <c r="O65" t="s">
        <v>46</v>
      </c>
      <c r="P65" t="str">
        <f t="shared" si="5"/>
        <v>R</v>
      </c>
      <c r="Q65">
        <v>2</v>
      </c>
      <c r="R65">
        <v>3</v>
      </c>
      <c r="S65">
        <v>2</v>
      </c>
      <c r="T65">
        <v>5</v>
      </c>
      <c r="U65">
        <v>5</v>
      </c>
      <c r="V65">
        <v>7</v>
      </c>
      <c r="W65" t="s">
        <v>85</v>
      </c>
      <c r="X65" t="s">
        <v>36</v>
      </c>
      <c r="Y65" t="s">
        <v>37</v>
      </c>
      <c r="Z65">
        <v>21</v>
      </c>
      <c r="AA65" t="s">
        <v>207</v>
      </c>
      <c r="AB65" t="str">
        <f t="shared" si="6"/>
        <v>Other</v>
      </c>
      <c r="AC65" t="s">
        <v>240</v>
      </c>
      <c r="AD65" t="str">
        <f t="shared" si="7"/>
        <v>Masters</v>
      </c>
      <c r="AE65" t="s">
        <v>91</v>
      </c>
      <c r="AF65" t="str">
        <f t="shared" si="8"/>
        <v>Hispanic or Latino</v>
      </c>
    </row>
    <row r="66" spans="1:32" x14ac:dyDescent="0.45">
      <c r="A66" t="s">
        <v>286</v>
      </c>
      <c r="B66" t="s">
        <v>25</v>
      </c>
      <c r="C66" s="3" t="s">
        <v>26</v>
      </c>
      <c r="D66" s="3">
        <f t="shared" si="0"/>
        <v>44840</v>
      </c>
      <c r="E66" t="s">
        <v>287</v>
      </c>
      <c r="F66" s="4">
        <f t="shared" si="1"/>
        <v>0.38472222222222224</v>
      </c>
      <c r="G66" t="s">
        <v>288</v>
      </c>
      <c r="H66" t="s">
        <v>30</v>
      </c>
      <c r="I66" t="str">
        <f t="shared" si="2"/>
        <v>Data Analyst</v>
      </c>
      <c r="J66" t="s">
        <v>43</v>
      </c>
      <c r="K66" t="s">
        <v>53</v>
      </c>
      <c r="L66">
        <f t="shared" si="3"/>
        <v>20</v>
      </c>
      <c r="M66" t="s">
        <v>155</v>
      </c>
      <c r="N66" t="str">
        <f t="shared" si="4"/>
        <v>Other</v>
      </c>
      <c r="O66" t="s">
        <v>34</v>
      </c>
      <c r="P66" t="str">
        <f t="shared" si="5"/>
        <v>Python</v>
      </c>
      <c r="Q66">
        <v>4</v>
      </c>
      <c r="R66">
        <v>4</v>
      </c>
      <c r="S66">
        <v>4</v>
      </c>
      <c r="T66">
        <v>4</v>
      </c>
      <c r="U66">
        <v>5</v>
      </c>
      <c r="V66">
        <v>6</v>
      </c>
      <c r="W66" t="s">
        <v>85</v>
      </c>
      <c r="X66" t="s">
        <v>36</v>
      </c>
      <c r="Y66" t="s">
        <v>37</v>
      </c>
      <c r="Z66">
        <v>29</v>
      </c>
      <c r="AA66" t="s">
        <v>289</v>
      </c>
      <c r="AB66" t="str">
        <f t="shared" si="6"/>
        <v>Other</v>
      </c>
      <c r="AC66" t="s">
        <v>237</v>
      </c>
      <c r="AD66" t="str">
        <f t="shared" si="7"/>
        <v>Bachelors</v>
      </c>
      <c r="AE66" t="s">
        <v>290</v>
      </c>
      <c r="AF66" t="str">
        <f t="shared" si="8"/>
        <v>Other</v>
      </c>
    </row>
    <row r="67" spans="1:32" x14ac:dyDescent="0.45">
      <c r="A67" t="s">
        <v>291</v>
      </c>
      <c r="B67" t="s">
        <v>25</v>
      </c>
      <c r="C67" s="3" t="s">
        <v>26</v>
      </c>
      <c r="D67" s="3">
        <f t="shared" ref="D67:D130" si="9">DATEVALUE(C67)</f>
        <v>44840</v>
      </c>
      <c r="E67" t="s">
        <v>292</v>
      </c>
      <c r="F67" s="4">
        <f t="shared" ref="F67:F130" si="10">TIMEVALUE(E67)</f>
        <v>0.38541666666666669</v>
      </c>
      <c r="G67" t="s">
        <v>293</v>
      </c>
      <c r="H67" t="s">
        <v>30</v>
      </c>
      <c r="I67" t="str">
        <f t="shared" ref="I67:I130" si="11">IF(LEFT(H67,5)="Other","Other",IF(ISNUMBER(SEARCH("None",H67)),"None",H67))</f>
        <v>Data Analyst</v>
      </c>
      <c r="J67" t="s">
        <v>31</v>
      </c>
      <c r="K67" t="s">
        <v>44</v>
      </c>
      <c r="L67">
        <f t="shared" ref="L67:L130" si="12">(VALUE(SUBSTITUTE(LEFT(K67,FIND("-",K67)-1),"k","")) + VALUE(SUBSTITUTE(MID(K67,FIND("-",K67)+1,LEN(K67)),"k","")))/2</f>
        <v>53</v>
      </c>
      <c r="M67" t="s">
        <v>103</v>
      </c>
      <c r="N67" t="str">
        <f t="shared" ref="N67:N130" si="13">IF(LEFT(M67,5)="Other","Other",IF(ISNUMBER(SEARCH("None",M67)),"None",M67))</f>
        <v>Tech</v>
      </c>
      <c r="O67" t="s">
        <v>34</v>
      </c>
      <c r="P67" t="str">
        <f t="shared" ref="P67:P130" si="14">IF(LEFT(O67,5)="Other","Other",IF(ISNUMBER(SEARCH("None",O67)),"None",O67))</f>
        <v>Python</v>
      </c>
      <c r="Q67">
        <v>5</v>
      </c>
      <c r="R67">
        <v>6</v>
      </c>
      <c r="S67">
        <v>7</v>
      </c>
      <c r="T67">
        <v>7</v>
      </c>
      <c r="U67">
        <v>7</v>
      </c>
      <c r="V67">
        <v>6</v>
      </c>
      <c r="W67" t="s">
        <v>69</v>
      </c>
      <c r="X67" t="s">
        <v>70</v>
      </c>
      <c r="Y67" t="s">
        <v>37</v>
      </c>
      <c r="Z67">
        <v>25</v>
      </c>
      <c r="AA67" t="s">
        <v>38</v>
      </c>
      <c r="AB67" t="str">
        <f t="shared" ref="AB67:AB130" si="15">IF(LEFT(AA67,5)="Other","Other",IF(ISNUMBER(SEARCH("None",AA67)),"None",AA67))</f>
        <v>United States</v>
      </c>
      <c r="AC67" t="s">
        <v>237</v>
      </c>
      <c r="AD67" t="str">
        <f t="shared" ref="AD67:AD130" si="16">IF(AC67="","none",AC67)</f>
        <v>Bachelors</v>
      </c>
      <c r="AE67" t="s">
        <v>48</v>
      </c>
      <c r="AF67" t="str">
        <f t="shared" ref="AF67:AF130" si="17">IF(LEFT(AE67,5)="Other","Other",IF(ISNUMBER(SEARCH("None",AE67)),"None",AE67))</f>
        <v>Asian or Asian American</v>
      </c>
    </row>
    <row r="68" spans="1:32" x14ac:dyDescent="0.45">
      <c r="A68" t="s">
        <v>294</v>
      </c>
      <c r="B68" t="s">
        <v>25</v>
      </c>
      <c r="C68" s="3" t="s">
        <v>26</v>
      </c>
      <c r="D68" s="3">
        <f t="shared" si="9"/>
        <v>44840</v>
      </c>
      <c r="E68" t="s">
        <v>292</v>
      </c>
      <c r="F68" s="4">
        <f t="shared" si="10"/>
        <v>0.38541666666666669</v>
      </c>
      <c r="G68" t="s">
        <v>112</v>
      </c>
      <c r="H68" t="s">
        <v>30</v>
      </c>
      <c r="I68" t="str">
        <f t="shared" si="11"/>
        <v>Data Analyst</v>
      </c>
      <c r="J68" t="s">
        <v>43</v>
      </c>
      <c r="K68" t="s">
        <v>44</v>
      </c>
      <c r="L68">
        <f t="shared" si="12"/>
        <v>53</v>
      </c>
      <c r="M68" t="s">
        <v>103</v>
      </c>
      <c r="N68" t="str">
        <f t="shared" si="13"/>
        <v>Tech</v>
      </c>
      <c r="O68" t="s">
        <v>34</v>
      </c>
      <c r="P68" t="str">
        <f t="shared" si="14"/>
        <v>Python</v>
      </c>
      <c r="Q68">
        <v>6</v>
      </c>
      <c r="R68">
        <v>6</v>
      </c>
      <c r="S68">
        <v>6</v>
      </c>
      <c r="T68">
        <v>6</v>
      </c>
      <c r="U68">
        <v>3</v>
      </c>
      <c r="V68">
        <v>5</v>
      </c>
      <c r="W68" t="s">
        <v>69</v>
      </c>
      <c r="X68" t="s">
        <v>114</v>
      </c>
      <c r="Y68" t="s">
        <v>37</v>
      </c>
      <c r="Z68">
        <v>27</v>
      </c>
      <c r="AA68" t="s">
        <v>267</v>
      </c>
      <c r="AB68" t="str">
        <f t="shared" si="15"/>
        <v>Other</v>
      </c>
      <c r="AC68" t="s">
        <v>240</v>
      </c>
      <c r="AD68" t="str">
        <f t="shared" si="16"/>
        <v>Masters</v>
      </c>
      <c r="AE68" t="s">
        <v>58</v>
      </c>
      <c r="AF68" t="str">
        <f t="shared" si="17"/>
        <v>Black or African American</v>
      </c>
    </row>
    <row r="69" spans="1:32" x14ac:dyDescent="0.45">
      <c r="A69" t="s">
        <v>295</v>
      </c>
      <c r="B69" t="s">
        <v>25</v>
      </c>
      <c r="C69" s="3" t="s">
        <v>26</v>
      </c>
      <c r="D69" s="3">
        <f t="shared" si="9"/>
        <v>44840</v>
      </c>
      <c r="E69" t="s">
        <v>296</v>
      </c>
      <c r="F69" s="4">
        <f t="shared" si="10"/>
        <v>0.38611111111111113</v>
      </c>
      <c r="G69" t="s">
        <v>297</v>
      </c>
      <c r="H69" t="s">
        <v>30</v>
      </c>
      <c r="I69" t="str">
        <f t="shared" si="11"/>
        <v>Data Analyst</v>
      </c>
      <c r="J69" t="s">
        <v>31</v>
      </c>
      <c r="K69" t="s">
        <v>44</v>
      </c>
      <c r="L69">
        <f t="shared" si="12"/>
        <v>53</v>
      </c>
      <c r="M69" t="s">
        <v>103</v>
      </c>
      <c r="N69" t="str">
        <f t="shared" si="13"/>
        <v>Tech</v>
      </c>
      <c r="O69" t="s">
        <v>34</v>
      </c>
      <c r="P69" t="str">
        <f t="shared" si="14"/>
        <v>Python</v>
      </c>
      <c r="Q69">
        <v>3</v>
      </c>
      <c r="R69">
        <v>9</v>
      </c>
      <c r="S69">
        <v>10</v>
      </c>
      <c r="T69">
        <v>8</v>
      </c>
      <c r="U69">
        <v>9</v>
      </c>
      <c r="V69">
        <v>9</v>
      </c>
      <c r="W69" t="s">
        <v>55</v>
      </c>
      <c r="X69" t="s">
        <v>70</v>
      </c>
      <c r="Y69" t="s">
        <v>37</v>
      </c>
      <c r="Z69">
        <v>23</v>
      </c>
      <c r="AA69" t="s">
        <v>147</v>
      </c>
      <c r="AB69" t="str">
        <f t="shared" si="15"/>
        <v>India</v>
      </c>
      <c r="AC69" t="s">
        <v>237</v>
      </c>
      <c r="AD69" t="str">
        <f t="shared" si="16"/>
        <v>Bachelors</v>
      </c>
      <c r="AE69" t="s">
        <v>48</v>
      </c>
      <c r="AF69" t="str">
        <f t="shared" si="17"/>
        <v>Asian or Asian American</v>
      </c>
    </row>
    <row r="70" spans="1:32" x14ac:dyDescent="0.45">
      <c r="A70" t="s">
        <v>298</v>
      </c>
      <c r="B70" t="s">
        <v>25</v>
      </c>
      <c r="C70" s="3" t="s">
        <v>26</v>
      </c>
      <c r="D70" s="3">
        <f t="shared" si="9"/>
        <v>44840</v>
      </c>
      <c r="E70" t="s">
        <v>296</v>
      </c>
      <c r="F70" s="4">
        <f t="shared" si="10"/>
        <v>0.38611111111111113</v>
      </c>
      <c r="G70" t="s">
        <v>299</v>
      </c>
      <c r="H70" t="s">
        <v>300</v>
      </c>
      <c r="I70" t="str">
        <f t="shared" si="11"/>
        <v>Other</v>
      </c>
      <c r="J70" t="s">
        <v>43</v>
      </c>
      <c r="K70" t="s">
        <v>87</v>
      </c>
      <c r="L70">
        <f t="shared" si="12"/>
        <v>95.5</v>
      </c>
      <c r="M70" t="s">
        <v>301</v>
      </c>
      <c r="N70" t="str">
        <f t="shared" si="13"/>
        <v>Other</v>
      </c>
      <c r="O70" t="s">
        <v>46</v>
      </c>
      <c r="P70" t="str">
        <f t="shared" si="14"/>
        <v>R</v>
      </c>
      <c r="Q70">
        <v>4</v>
      </c>
      <c r="R70">
        <v>3</v>
      </c>
      <c r="S70">
        <v>3</v>
      </c>
      <c r="T70">
        <v>5</v>
      </c>
      <c r="U70">
        <v>5</v>
      </c>
      <c r="V70">
        <v>5</v>
      </c>
      <c r="W70" t="s">
        <v>69</v>
      </c>
      <c r="X70" t="s">
        <v>70</v>
      </c>
      <c r="Y70" t="s">
        <v>37</v>
      </c>
      <c r="Z70">
        <v>32</v>
      </c>
      <c r="AA70" t="s">
        <v>38</v>
      </c>
      <c r="AB70" t="str">
        <f t="shared" si="15"/>
        <v>United States</v>
      </c>
      <c r="AC70" t="s">
        <v>240</v>
      </c>
      <c r="AD70" t="str">
        <f t="shared" si="16"/>
        <v>Masters</v>
      </c>
      <c r="AE70" t="s">
        <v>48</v>
      </c>
      <c r="AF70" t="str">
        <f t="shared" si="17"/>
        <v>Asian or Asian American</v>
      </c>
    </row>
    <row r="71" spans="1:32" x14ac:dyDescent="0.45">
      <c r="A71" t="s">
        <v>302</v>
      </c>
      <c r="B71" t="s">
        <v>25</v>
      </c>
      <c r="C71" s="3" t="s">
        <v>26</v>
      </c>
      <c r="D71" s="3">
        <f t="shared" si="9"/>
        <v>44840</v>
      </c>
      <c r="E71" t="s">
        <v>303</v>
      </c>
      <c r="F71" s="4">
        <f t="shared" si="10"/>
        <v>0.38680555555555557</v>
      </c>
      <c r="G71" t="s">
        <v>304</v>
      </c>
      <c r="H71" t="s">
        <v>123</v>
      </c>
      <c r="I71" t="str">
        <f t="shared" si="11"/>
        <v>None</v>
      </c>
      <c r="J71" t="s">
        <v>31</v>
      </c>
      <c r="K71" t="s">
        <v>32</v>
      </c>
      <c r="L71">
        <f t="shared" si="12"/>
        <v>115.5</v>
      </c>
      <c r="M71" t="s">
        <v>33</v>
      </c>
      <c r="N71" t="str">
        <f t="shared" si="13"/>
        <v>Healthcare</v>
      </c>
      <c r="O71" t="s">
        <v>34</v>
      </c>
      <c r="P71" t="str">
        <f t="shared" si="14"/>
        <v>Python</v>
      </c>
      <c r="Q71">
        <v>5</v>
      </c>
      <c r="R71">
        <v>5</v>
      </c>
      <c r="S71">
        <v>7</v>
      </c>
      <c r="T71">
        <v>5</v>
      </c>
      <c r="U71">
        <v>7</v>
      </c>
      <c r="V71">
        <v>7</v>
      </c>
      <c r="W71" t="s">
        <v>85</v>
      </c>
      <c r="X71" t="s">
        <v>36</v>
      </c>
      <c r="Y71" t="s">
        <v>37</v>
      </c>
      <c r="Z71">
        <v>22</v>
      </c>
      <c r="AA71" t="s">
        <v>147</v>
      </c>
      <c r="AB71" t="str">
        <f t="shared" si="15"/>
        <v>India</v>
      </c>
      <c r="AC71" t="s">
        <v>237</v>
      </c>
      <c r="AD71" t="str">
        <f t="shared" si="16"/>
        <v>Bachelors</v>
      </c>
      <c r="AE71" t="s">
        <v>48</v>
      </c>
      <c r="AF71" t="str">
        <f t="shared" si="17"/>
        <v>Asian or Asian American</v>
      </c>
    </row>
    <row r="72" spans="1:32" x14ac:dyDescent="0.45">
      <c r="A72" t="s">
        <v>305</v>
      </c>
      <c r="B72" t="s">
        <v>25</v>
      </c>
      <c r="C72" s="3" t="s">
        <v>26</v>
      </c>
      <c r="D72" s="3">
        <f t="shared" si="9"/>
        <v>44840</v>
      </c>
      <c r="E72" t="s">
        <v>303</v>
      </c>
      <c r="F72" s="4">
        <f t="shared" si="10"/>
        <v>0.38680555555555557</v>
      </c>
      <c r="G72" t="s">
        <v>306</v>
      </c>
      <c r="H72" t="s">
        <v>30</v>
      </c>
      <c r="I72" t="str">
        <f t="shared" si="11"/>
        <v>Data Analyst</v>
      </c>
      <c r="J72" t="s">
        <v>43</v>
      </c>
      <c r="K72" t="s">
        <v>53</v>
      </c>
      <c r="L72">
        <f t="shared" si="12"/>
        <v>20</v>
      </c>
      <c r="M72" t="s">
        <v>103</v>
      </c>
      <c r="N72" t="str">
        <f t="shared" si="13"/>
        <v>Tech</v>
      </c>
      <c r="O72" t="s">
        <v>34</v>
      </c>
      <c r="P72" t="str">
        <f t="shared" si="14"/>
        <v>Python</v>
      </c>
      <c r="Q72">
        <v>2</v>
      </c>
      <c r="R72">
        <v>9</v>
      </c>
      <c r="S72">
        <v>9</v>
      </c>
      <c r="T72">
        <v>8</v>
      </c>
      <c r="U72">
        <v>6</v>
      </c>
      <c r="V72">
        <v>2</v>
      </c>
      <c r="W72" t="s">
        <v>55</v>
      </c>
      <c r="X72" t="s">
        <v>70</v>
      </c>
      <c r="Y72" t="s">
        <v>37</v>
      </c>
      <c r="Z72">
        <v>25</v>
      </c>
      <c r="AA72" t="s">
        <v>307</v>
      </c>
      <c r="AB72" t="str">
        <f t="shared" si="15"/>
        <v>Other</v>
      </c>
      <c r="AC72" t="s">
        <v>237</v>
      </c>
      <c r="AD72" t="str">
        <f t="shared" si="16"/>
        <v>Bachelors</v>
      </c>
      <c r="AE72" t="s">
        <v>48</v>
      </c>
      <c r="AF72" t="str">
        <f t="shared" si="17"/>
        <v>Asian or Asian American</v>
      </c>
    </row>
    <row r="73" spans="1:32" x14ac:dyDescent="0.45">
      <c r="A73" t="s">
        <v>308</v>
      </c>
      <c r="B73" t="s">
        <v>25</v>
      </c>
      <c r="C73" s="3" t="s">
        <v>26</v>
      </c>
      <c r="D73" s="3">
        <f t="shared" si="9"/>
        <v>44840</v>
      </c>
      <c r="E73" t="s">
        <v>309</v>
      </c>
      <c r="F73" s="4">
        <f t="shared" si="10"/>
        <v>0.38750000000000001</v>
      </c>
      <c r="G73" t="s">
        <v>76</v>
      </c>
      <c r="H73" t="s">
        <v>30</v>
      </c>
      <c r="I73" t="str">
        <f t="shared" si="11"/>
        <v>Data Analyst</v>
      </c>
      <c r="J73" t="s">
        <v>31</v>
      </c>
      <c r="K73" t="s">
        <v>53</v>
      </c>
      <c r="L73">
        <f t="shared" si="12"/>
        <v>20</v>
      </c>
      <c r="M73" t="s">
        <v>90</v>
      </c>
      <c r="N73" t="str">
        <f t="shared" si="13"/>
        <v>Telecommunication</v>
      </c>
      <c r="O73" t="s">
        <v>34</v>
      </c>
      <c r="P73" t="str">
        <f t="shared" si="14"/>
        <v>Python</v>
      </c>
      <c r="Q73">
        <v>2</v>
      </c>
      <c r="R73">
        <v>8</v>
      </c>
      <c r="S73">
        <v>6</v>
      </c>
      <c r="T73">
        <v>6</v>
      </c>
      <c r="U73">
        <v>5</v>
      </c>
      <c r="V73">
        <v>5</v>
      </c>
      <c r="W73" t="s">
        <v>85</v>
      </c>
      <c r="X73" t="s">
        <v>36</v>
      </c>
      <c r="Y73" t="s">
        <v>65</v>
      </c>
      <c r="Z73">
        <v>36</v>
      </c>
      <c r="AA73" t="s">
        <v>267</v>
      </c>
      <c r="AB73" t="str">
        <f t="shared" si="15"/>
        <v>Other</v>
      </c>
      <c r="AC73" t="s">
        <v>240</v>
      </c>
      <c r="AD73" t="str">
        <f t="shared" si="16"/>
        <v>Masters</v>
      </c>
      <c r="AE73" t="s">
        <v>39</v>
      </c>
      <c r="AF73" t="str">
        <f t="shared" si="17"/>
        <v>White or Caucasian</v>
      </c>
    </row>
    <row r="74" spans="1:32" x14ac:dyDescent="0.45">
      <c r="A74" t="s">
        <v>310</v>
      </c>
      <c r="B74" t="s">
        <v>25</v>
      </c>
      <c r="C74" s="3" t="s">
        <v>26</v>
      </c>
      <c r="D74" s="3">
        <f t="shared" si="9"/>
        <v>44840</v>
      </c>
      <c r="E74" t="s">
        <v>311</v>
      </c>
      <c r="F74" s="4">
        <f t="shared" si="10"/>
        <v>0.38819444444444445</v>
      </c>
      <c r="G74" t="s">
        <v>146</v>
      </c>
      <c r="H74" t="s">
        <v>30</v>
      </c>
      <c r="I74" t="str">
        <f t="shared" si="11"/>
        <v>Data Analyst</v>
      </c>
      <c r="J74" t="s">
        <v>31</v>
      </c>
      <c r="K74" t="s">
        <v>32</v>
      </c>
      <c r="L74">
        <f t="shared" si="12"/>
        <v>115.5</v>
      </c>
      <c r="M74" t="s">
        <v>103</v>
      </c>
      <c r="N74" t="str">
        <f t="shared" si="13"/>
        <v>Tech</v>
      </c>
      <c r="O74" t="s">
        <v>84</v>
      </c>
      <c r="P74" t="str">
        <f t="shared" si="14"/>
        <v>Other</v>
      </c>
      <c r="Q74">
        <v>10</v>
      </c>
      <c r="R74">
        <v>6</v>
      </c>
      <c r="S74">
        <v>9</v>
      </c>
      <c r="T74">
        <v>5</v>
      </c>
      <c r="U74">
        <v>8</v>
      </c>
      <c r="V74">
        <v>7</v>
      </c>
      <c r="W74" t="s">
        <v>55</v>
      </c>
      <c r="X74" t="s">
        <v>56</v>
      </c>
      <c r="Y74" t="s">
        <v>65</v>
      </c>
      <c r="Z74">
        <v>27</v>
      </c>
      <c r="AA74" t="s">
        <v>38</v>
      </c>
      <c r="AB74" t="str">
        <f t="shared" si="15"/>
        <v>United States</v>
      </c>
      <c r="AC74" t="s">
        <v>237</v>
      </c>
      <c r="AD74" t="str">
        <f t="shared" si="16"/>
        <v>Bachelors</v>
      </c>
      <c r="AE74" t="s">
        <v>39</v>
      </c>
      <c r="AF74" t="str">
        <f t="shared" si="17"/>
        <v>White or Caucasian</v>
      </c>
    </row>
    <row r="75" spans="1:32" x14ac:dyDescent="0.45">
      <c r="A75" t="s">
        <v>312</v>
      </c>
      <c r="B75" t="s">
        <v>25</v>
      </c>
      <c r="C75" s="3" t="s">
        <v>26</v>
      </c>
      <c r="D75" s="3">
        <f t="shared" si="9"/>
        <v>44840</v>
      </c>
      <c r="E75" t="s">
        <v>311</v>
      </c>
      <c r="F75" s="4">
        <f t="shared" si="10"/>
        <v>0.38819444444444445</v>
      </c>
      <c r="G75" t="s">
        <v>313</v>
      </c>
      <c r="H75" t="s">
        <v>314</v>
      </c>
      <c r="I75" t="str">
        <f t="shared" si="11"/>
        <v>Other</v>
      </c>
      <c r="J75" t="s">
        <v>31</v>
      </c>
      <c r="K75" t="s">
        <v>53</v>
      </c>
      <c r="L75">
        <f t="shared" si="12"/>
        <v>20</v>
      </c>
      <c r="M75" t="s">
        <v>103</v>
      </c>
      <c r="N75" t="str">
        <f t="shared" si="13"/>
        <v>Tech</v>
      </c>
      <c r="O75" t="s">
        <v>34</v>
      </c>
      <c r="P75" t="str">
        <f t="shared" si="14"/>
        <v>Python</v>
      </c>
      <c r="Q75">
        <v>5</v>
      </c>
      <c r="R75">
        <v>5</v>
      </c>
      <c r="S75">
        <v>5</v>
      </c>
      <c r="T75">
        <v>5</v>
      </c>
      <c r="U75">
        <v>5</v>
      </c>
      <c r="V75">
        <v>1</v>
      </c>
      <c r="W75" t="s">
        <v>85</v>
      </c>
      <c r="X75" t="s">
        <v>315</v>
      </c>
      <c r="Y75" t="s">
        <v>37</v>
      </c>
      <c r="Z75">
        <v>23</v>
      </c>
      <c r="AA75" t="s">
        <v>147</v>
      </c>
      <c r="AB75" t="str">
        <f t="shared" si="15"/>
        <v>India</v>
      </c>
      <c r="AC75" t="s">
        <v>237</v>
      </c>
      <c r="AD75" t="str">
        <f t="shared" si="16"/>
        <v>Bachelors</v>
      </c>
      <c r="AE75" t="s">
        <v>48</v>
      </c>
      <c r="AF75" t="str">
        <f t="shared" si="17"/>
        <v>Asian or Asian American</v>
      </c>
    </row>
    <row r="76" spans="1:32" x14ac:dyDescent="0.45">
      <c r="A76" t="s">
        <v>316</v>
      </c>
      <c r="B76" t="s">
        <v>25</v>
      </c>
      <c r="C76" s="3" t="s">
        <v>26</v>
      </c>
      <c r="D76" s="3">
        <f t="shared" si="9"/>
        <v>44840</v>
      </c>
      <c r="E76" t="s">
        <v>311</v>
      </c>
      <c r="F76" s="4">
        <f t="shared" si="10"/>
        <v>0.38819444444444445</v>
      </c>
      <c r="G76" t="s">
        <v>317</v>
      </c>
      <c r="H76" t="s">
        <v>123</v>
      </c>
      <c r="I76" t="str">
        <f t="shared" si="11"/>
        <v>None</v>
      </c>
      <c r="J76" t="s">
        <v>31</v>
      </c>
      <c r="K76" t="s">
        <v>53</v>
      </c>
      <c r="L76">
        <f t="shared" si="12"/>
        <v>20</v>
      </c>
      <c r="M76" t="s">
        <v>103</v>
      </c>
      <c r="N76" t="str">
        <f t="shared" si="13"/>
        <v>Tech</v>
      </c>
      <c r="O76" t="s">
        <v>318</v>
      </c>
      <c r="P76" t="str">
        <f t="shared" si="14"/>
        <v>Other</v>
      </c>
      <c r="Q76">
        <v>2</v>
      </c>
      <c r="R76">
        <v>3</v>
      </c>
      <c r="S76">
        <v>3</v>
      </c>
      <c r="T76">
        <v>3</v>
      </c>
      <c r="U76">
        <v>3</v>
      </c>
      <c r="V76">
        <v>6</v>
      </c>
      <c r="W76" t="s">
        <v>35</v>
      </c>
      <c r="X76" t="s">
        <v>70</v>
      </c>
      <c r="Y76" t="s">
        <v>37</v>
      </c>
      <c r="Z76">
        <v>26</v>
      </c>
      <c r="AA76" t="s">
        <v>319</v>
      </c>
      <c r="AB76" t="str">
        <f t="shared" si="15"/>
        <v>Other</v>
      </c>
      <c r="AC76" t="s">
        <v>237</v>
      </c>
      <c r="AD76" t="str">
        <f t="shared" si="16"/>
        <v>Bachelors</v>
      </c>
      <c r="AE76" t="s">
        <v>58</v>
      </c>
      <c r="AF76" t="str">
        <f t="shared" si="17"/>
        <v>Black or African American</v>
      </c>
    </row>
    <row r="77" spans="1:32" x14ac:dyDescent="0.45">
      <c r="A77" t="s">
        <v>320</v>
      </c>
      <c r="B77" t="s">
        <v>25</v>
      </c>
      <c r="C77" s="3" t="s">
        <v>26</v>
      </c>
      <c r="D77" s="3">
        <f t="shared" si="9"/>
        <v>44840</v>
      </c>
      <c r="E77" t="s">
        <v>321</v>
      </c>
      <c r="F77" s="4">
        <f t="shared" si="10"/>
        <v>0.3888888888888889</v>
      </c>
      <c r="G77" t="s">
        <v>322</v>
      </c>
      <c r="H77" t="s">
        <v>323</v>
      </c>
      <c r="I77" t="str">
        <f t="shared" si="11"/>
        <v>Other</v>
      </c>
      <c r="J77" t="s">
        <v>43</v>
      </c>
      <c r="K77" t="s">
        <v>87</v>
      </c>
      <c r="L77">
        <f t="shared" si="12"/>
        <v>95.5</v>
      </c>
      <c r="M77" t="s">
        <v>33</v>
      </c>
      <c r="N77" t="str">
        <f t="shared" si="13"/>
        <v>Healthcare</v>
      </c>
      <c r="O77" t="s">
        <v>34</v>
      </c>
      <c r="P77" t="str">
        <f t="shared" si="14"/>
        <v>Python</v>
      </c>
      <c r="Q77">
        <v>9</v>
      </c>
      <c r="R77">
        <v>10</v>
      </c>
      <c r="S77">
        <v>10</v>
      </c>
      <c r="T77">
        <v>10</v>
      </c>
      <c r="U77">
        <v>10</v>
      </c>
      <c r="V77">
        <v>10</v>
      </c>
      <c r="W77" t="s">
        <v>64</v>
      </c>
      <c r="X77" t="s">
        <v>56</v>
      </c>
      <c r="Y77" t="s">
        <v>65</v>
      </c>
      <c r="Z77">
        <v>33</v>
      </c>
      <c r="AA77" t="s">
        <v>38</v>
      </c>
      <c r="AB77" t="str">
        <f t="shared" si="15"/>
        <v>United States</v>
      </c>
      <c r="AC77" t="s">
        <v>324</v>
      </c>
      <c r="AD77" t="str">
        <f t="shared" si="16"/>
        <v>PhD</v>
      </c>
      <c r="AE77" t="s">
        <v>91</v>
      </c>
      <c r="AF77" t="str">
        <f t="shared" si="17"/>
        <v>Hispanic or Latino</v>
      </c>
    </row>
    <row r="78" spans="1:32" x14ac:dyDescent="0.45">
      <c r="A78" t="s">
        <v>325</v>
      </c>
      <c r="B78" t="s">
        <v>25</v>
      </c>
      <c r="C78" s="3" t="s">
        <v>26</v>
      </c>
      <c r="D78" s="3">
        <f t="shared" si="9"/>
        <v>44840</v>
      </c>
      <c r="E78" t="s">
        <v>321</v>
      </c>
      <c r="F78" s="4">
        <f t="shared" si="10"/>
        <v>0.3888888888888889</v>
      </c>
      <c r="G78" t="s">
        <v>186</v>
      </c>
      <c r="H78" t="s">
        <v>30</v>
      </c>
      <c r="I78" t="str">
        <f t="shared" si="11"/>
        <v>Data Analyst</v>
      </c>
      <c r="J78" t="s">
        <v>31</v>
      </c>
      <c r="K78" t="s">
        <v>32</v>
      </c>
      <c r="L78">
        <f t="shared" si="12"/>
        <v>115.5</v>
      </c>
      <c r="M78" t="s">
        <v>178</v>
      </c>
      <c r="N78" t="str">
        <f t="shared" si="13"/>
        <v>Other</v>
      </c>
      <c r="O78" t="s">
        <v>34</v>
      </c>
      <c r="P78" t="str">
        <f t="shared" si="14"/>
        <v>Python</v>
      </c>
      <c r="Q78">
        <v>3</v>
      </c>
      <c r="R78">
        <v>5</v>
      </c>
      <c r="S78">
        <v>3</v>
      </c>
      <c r="T78">
        <v>3</v>
      </c>
      <c r="U78">
        <v>5</v>
      </c>
      <c r="V78">
        <v>5</v>
      </c>
      <c r="W78" t="s">
        <v>55</v>
      </c>
      <c r="X78" t="s">
        <v>70</v>
      </c>
      <c r="Y78" t="s">
        <v>37</v>
      </c>
      <c r="Z78">
        <v>27</v>
      </c>
      <c r="AA78" t="s">
        <v>280</v>
      </c>
      <c r="AB78" t="str">
        <f t="shared" si="15"/>
        <v>Other</v>
      </c>
      <c r="AC78" t="s">
        <v>240</v>
      </c>
      <c r="AD78" t="str">
        <f t="shared" si="16"/>
        <v>Masters</v>
      </c>
      <c r="AE78" t="s">
        <v>39</v>
      </c>
      <c r="AF78" t="str">
        <f t="shared" si="17"/>
        <v>White or Caucasian</v>
      </c>
    </row>
    <row r="79" spans="1:32" x14ac:dyDescent="0.45">
      <c r="A79" t="s">
        <v>326</v>
      </c>
      <c r="B79" t="s">
        <v>25</v>
      </c>
      <c r="C79" s="3" t="s">
        <v>26</v>
      </c>
      <c r="D79" s="3">
        <f t="shared" si="9"/>
        <v>44840</v>
      </c>
      <c r="E79" t="s">
        <v>327</v>
      </c>
      <c r="F79" s="4">
        <f t="shared" si="10"/>
        <v>0.38958333333333334</v>
      </c>
      <c r="G79" t="s">
        <v>165</v>
      </c>
      <c r="H79" t="s">
        <v>30</v>
      </c>
      <c r="I79" t="str">
        <f t="shared" si="11"/>
        <v>Data Analyst</v>
      </c>
      <c r="J79" t="s">
        <v>31</v>
      </c>
      <c r="K79" t="s">
        <v>44</v>
      </c>
      <c r="L79">
        <f t="shared" si="12"/>
        <v>53</v>
      </c>
      <c r="M79" t="s">
        <v>108</v>
      </c>
      <c r="N79" t="str">
        <f t="shared" si="13"/>
        <v>Education</v>
      </c>
      <c r="O79" t="s">
        <v>46</v>
      </c>
      <c r="P79" t="str">
        <f t="shared" si="14"/>
        <v>R</v>
      </c>
      <c r="Q79">
        <v>3</v>
      </c>
      <c r="R79">
        <v>6</v>
      </c>
      <c r="S79">
        <v>5</v>
      </c>
      <c r="T79">
        <v>4</v>
      </c>
      <c r="U79">
        <v>3</v>
      </c>
      <c r="V79">
        <v>4</v>
      </c>
      <c r="W79" t="s">
        <v>85</v>
      </c>
      <c r="X79" t="s">
        <v>70</v>
      </c>
      <c r="Y79" t="s">
        <v>37</v>
      </c>
      <c r="Z79">
        <v>42</v>
      </c>
      <c r="AA79" t="s">
        <v>38</v>
      </c>
      <c r="AB79" t="str">
        <f t="shared" si="15"/>
        <v>United States</v>
      </c>
      <c r="AC79" t="s">
        <v>262</v>
      </c>
      <c r="AD79" t="str">
        <f t="shared" si="16"/>
        <v>Associates</v>
      </c>
      <c r="AE79" t="s">
        <v>39</v>
      </c>
      <c r="AF79" t="str">
        <f t="shared" si="17"/>
        <v>White or Caucasian</v>
      </c>
    </row>
    <row r="80" spans="1:32" x14ac:dyDescent="0.45">
      <c r="A80" t="s">
        <v>328</v>
      </c>
      <c r="B80" t="s">
        <v>25</v>
      </c>
      <c r="C80" s="3" t="s">
        <v>26</v>
      </c>
      <c r="D80" s="3">
        <f t="shared" si="9"/>
        <v>44840</v>
      </c>
      <c r="E80" t="s">
        <v>327</v>
      </c>
      <c r="F80" s="4">
        <f t="shared" si="10"/>
        <v>0.38958333333333334</v>
      </c>
      <c r="G80" t="s">
        <v>299</v>
      </c>
      <c r="H80" t="s">
        <v>30</v>
      </c>
      <c r="I80" t="str">
        <f t="shared" si="11"/>
        <v>Data Analyst</v>
      </c>
      <c r="J80" t="s">
        <v>31</v>
      </c>
      <c r="K80" t="s">
        <v>53</v>
      </c>
      <c r="L80">
        <f t="shared" si="12"/>
        <v>20</v>
      </c>
      <c r="M80" t="s">
        <v>103</v>
      </c>
      <c r="N80" t="str">
        <f t="shared" si="13"/>
        <v>Tech</v>
      </c>
      <c r="O80" t="s">
        <v>34</v>
      </c>
      <c r="P80" t="str">
        <f t="shared" si="14"/>
        <v>Python</v>
      </c>
      <c r="Q80">
        <v>6</v>
      </c>
      <c r="R80">
        <v>7</v>
      </c>
      <c r="S80">
        <v>8</v>
      </c>
      <c r="T80">
        <v>7</v>
      </c>
      <c r="U80">
        <v>7</v>
      </c>
      <c r="V80">
        <v>8</v>
      </c>
      <c r="W80" t="s">
        <v>55</v>
      </c>
      <c r="X80" t="s">
        <v>56</v>
      </c>
      <c r="Y80" t="s">
        <v>37</v>
      </c>
      <c r="Z80">
        <v>29</v>
      </c>
      <c r="AA80" t="s">
        <v>207</v>
      </c>
      <c r="AB80" t="str">
        <f t="shared" si="15"/>
        <v>Other</v>
      </c>
      <c r="AC80" t="s">
        <v>240</v>
      </c>
      <c r="AD80" t="str">
        <f t="shared" si="16"/>
        <v>Masters</v>
      </c>
      <c r="AE80" t="s">
        <v>39</v>
      </c>
      <c r="AF80" t="str">
        <f t="shared" si="17"/>
        <v>White or Caucasian</v>
      </c>
    </row>
    <row r="81" spans="1:32" x14ac:dyDescent="0.45">
      <c r="A81" t="s">
        <v>329</v>
      </c>
      <c r="B81" t="s">
        <v>25</v>
      </c>
      <c r="C81" s="3" t="s">
        <v>26</v>
      </c>
      <c r="D81" s="3">
        <f t="shared" si="9"/>
        <v>44840</v>
      </c>
      <c r="E81" t="s">
        <v>330</v>
      </c>
      <c r="F81" s="4">
        <f t="shared" si="10"/>
        <v>0.39027777777777778</v>
      </c>
      <c r="G81" t="s">
        <v>331</v>
      </c>
      <c r="H81" t="s">
        <v>30</v>
      </c>
      <c r="I81" t="str">
        <f t="shared" si="11"/>
        <v>Data Analyst</v>
      </c>
      <c r="J81" t="s">
        <v>43</v>
      </c>
      <c r="K81" t="s">
        <v>82</v>
      </c>
      <c r="L81">
        <f t="shared" si="12"/>
        <v>137.5</v>
      </c>
      <c r="M81" t="s">
        <v>103</v>
      </c>
      <c r="N81" t="str">
        <f t="shared" si="13"/>
        <v>Tech</v>
      </c>
      <c r="O81" t="s">
        <v>34</v>
      </c>
      <c r="P81" t="str">
        <f t="shared" si="14"/>
        <v>Python</v>
      </c>
      <c r="Q81">
        <v>4</v>
      </c>
      <c r="R81">
        <v>7</v>
      </c>
      <c r="S81">
        <v>6</v>
      </c>
      <c r="T81">
        <v>4</v>
      </c>
      <c r="U81">
        <v>2</v>
      </c>
      <c r="V81">
        <v>4</v>
      </c>
      <c r="W81" t="s">
        <v>55</v>
      </c>
      <c r="X81" t="s">
        <v>70</v>
      </c>
      <c r="Y81" t="s">
        <v>65</v>
      </c>
      <c r="Z81">
        <v>27</v>
      </c>
      <c r="AA81" t="s">
        <v>38</v>
      </c>
      <c r="AB81" t="str">
        <f t="shared" si="15"/>
        <v>United States</v>
      </c>
      <c r="AC81" t="s">
        <v>240</v>
      </c>
      <c r="AD81" t="str">
        <f t="shared" si="16"/>
        <v>Masters</v>
      </c>
      <c r="AE81" t="s">
        <v>48</v>
      </c>
      <c r="AF81" t="str">
        <f t="shared" si="17"/>
        <v>Asian or Asian American</v>
      </c>
    </row>
    <row r="82" spans="1:32" x14ac:dyDescent="0.45">
      <c r="A82" t="s">
        <v>332</v>
      </c>
      <c r="B82" t="s">
        <v>25</v>
      </c>
      <c r="C82" s="3" t="s">
        <v>26</v>
      </c>
      <c r="D82" s="3">
        <f t="shared" si="9"/>
        <v>44840</v>
      </c>
      <c r="E82" t="s">
        <v>330</v>
      </c>
      <c r="F82" s="4">
        <f t="shared" si="10"/>
        <v>0.39027777777777778</v>
      </c>
      <c r="G82" t="s">
        <v>333</v>
      </c>
      <c r="H82" t="s">
        <v>123</v>
      </c>
      <c r="I82" t="str">
        <f t="shared" si="11"/>
        <v>None</v>
      </c>
      <c r="J82" t="s">
        <v>43</v>
      </c>
      <c r="K82" t="s">
        <v>44</v>
      </c>
      <c r="L82">
        <f t="shared" si="12"/>
        <v>53</v>
      </c>
      <c r="M82" t="s">
        <v>33</v>
      </c>
      <c r="N82" t="str">
        <f t="shared" si="13"/>
        <v>Healthcare</v>
      </c>
      <c r="O82" t="s">
        <v>34</v>
      </c>
      <c r="P82" t="str">
        <f t="shared" si="14"/>
        <v>Python</v>
      </c>
      <c r="Q82">
        <v>0</v>
      </c>
      <c r="R82">
        <v>10</v>
      </c>
      <c r="S82">
        <v>10</v>
      </c>
      <c r="T82">
        <v>10</v>
      </c>
      <c r="U82">
        <v>4</v>
      </c>
      <c r="V82">
        <v>2</v>
      </c>
      <c r="W82" t="s">
        <v>85</v>
      </c>
      <c r="X82" t="s">
        <v>36</v>
      </c>
      <c r="Y82" t="s">
        <v>65</v>
      </c>
      <c r="Z82">
        <v>39</v>
      </c>
      <c r="AA82" t="s">
        <v>38</v>
      </c>
      <c r="AB82" t="str">
        <f t="shared" si="15"/>
        <v>United States</v>
      </c>
      <c r="AC82" t="s">
        <v>237</v>
      </c>
      <c r="AD82" t="str">
        <f t="shared" si="16"/>
        <v>Bachelors</v>
      </c>
      <c r="AE82" t="s">
        <v>91</v>
      </c>
      <c r="AF82" t="str">
        <f t="shared" si="17"/>
        <v>Hispanic or Latino</v>
      </c>
    </row>
    <row r="83" spans="1:32" x14ac:dyDescent="0.45">
      <c r="A83" t="s">
        <v>334</v>
      </c>
      <c r="B83" t="s">
        <v>25</v>
      </c>
      <c r="C83" s="3" t="s">
        <v>26</v>
      </c>
      <c r="D83" s="3">
        <f t="shared" si="9"/>
        <v>44840</v>
      </c>
      <c r="E83" t="s">
        <v>335</v>
      </c>
      <c r="F83" s="4">
        <f t="shared" si="10"/>
        <v>0.39097222222222222</v>
      </c>
      <c r="G83" t="s">
        <v>336</v>
      </c>
      <c r="H83" t="s">
        <v>30</v>
      </c>
      <c r="I83" t="str">
        <f t="shared" si="11"/>
        <v>Data Analyst</v>
      </c>
      <c r="J83" t="s">
        <v>31</v>
      </c>
      <c r="K83" t="s">
        <v>44</v>
      </c>
      <c r="L83">
        <f t="shared" si="12"/>
        <v>53</v>
      </c>
      <c r="M83" t="s">
        <v>90</v>
      </c>
      <c r="N83" t="str">
        <f t="shared" si="13"/>
        <v>Telecommunication</v>
      </c>
      <c r="O83" t="s">
        <v>34</v>
      </c>
      <c r="P83" t="str">
        <f t="shared" si="14"/>
        <v>Python</v>
      </c>
      <c r="Q83">
        <v>6</v>
      </c>
      <c r="R83">
        <v>6</v>
      </c>
      <c r="S83">
        <v>7</v>
      </c>
      <c r="T83">
        <v>5</v>
      </c>
      <c r="U83">
        <v>6</v>
      </c>
      <c r="V83">
        <v>7</v>
      </c>
      <c r="W83" t="s">
        <v>69</v>
      </c>
      <c r="X83" t="s">
        <v>114</v>
      </c>
      <c r="Y83" t="s">
        <v>37</v>
      </c>
      <c r="Z83">
        <v>31</v>
      </c>
      <c r="AA83" t="s">
        <v>337</v>
      </c>
      <c r="AB83" t="str">
        <f t="shared" si="15"/>
        <v>Other</v>
      </c>
      <c r="AC83" t="s">
        <v>240</v>
      </c>
      <c r="AD83" t="str">
        <f t="shared" si="16"/>
        <v>Masters</v>
      </c>
      <c r="AE83" t="s">
        <v>39</v>
      </c>
      <c r="AF83" t="str">
        <f t="shared" si="17"/>
        <v>White or Caucasian</v>
      </c>
    </row>
    <row r="84" spans="1:32" x14ac:dyDescent="0.45">
      <c r="A84" t="s">
        <v>338</v>
      </c>
      <c r="B84" t="s">
        <v>25</v>
      </c>
      <c r="C84" s="3" t="s">
        <v>26</v>
      </c>
      <c r="D84" s="3">
        <f t="shared" si="9"/>
        <v>44840</v>
      </c>
      <c r="E84" t="s">
        <v>335</v>
      </c>
      <c r="F84" s="4">
        <f t="shared" si="10"/>
        <v>0.39097222222222222</v>
      </c>
      <c r="G84" t="s">
        <v>339</v>
      </c>
      <c r="H84" t="s">
        <v>30</v>
      </c>
      <c r="I84" t="str">
        <f t="shared" si="11"/>
        <v>Data Analyst</v>
      </c>
      <c r="J84" t="s">
        <v>31</v>
      </c>
      <c r="K84" t="s">
        <v>94</v>
      </c>
      <c r="L84">
        <f t="shared" si="12"/>
        <v>75.5</v>
      </c>
      <c r="M84" t="s">
        <v>340</v>
      </c>
      <c r="N84" t="str">
        <f t="shared" si="13"/>
        <v>Other</v>
      </c>
      <c r="O84" t="s">
        <v>34</v>
      </c>
      <c r="P84" t="str">
        <f t="shared" si="14"/>
        <v>Python</v>
      </c>
      <c r="Q84">
        <v>7</v>
      </c>
      <c r="R84">
        <v>7</v>
      </c>
      <c r="S84">
        <v>5</v>
      </c>
      <c r="T84">
        <v>9</v>
      </c>
      <c r="U84">
        <v>7</v>
      </c>
      <c r="V84">
        <v>8</v>
      </c>
      <c r="W84" t="s">
        <v>55</v>
      </c>
      <c r="X84" t="s">
        <v>56</v>
      </c>
      <c r="Y84" t="s">
        <v>37</v>
      </c>
      <c r="Z84">
        <v>29</v>
      </c>
      <c r="AA84" t="s">
        <v>341</v>
      </c>
      <c r="AB84" t="str">
        <f t="shared" si="15"/>
        <v>Other</v>
      </c>
      <c r="AC84" t="s">
        <v>237</v>
      </c>
      <c r="AD84" t="str">
        <f t="shared" si="16"/>
        <v>Bachelors</v>
      </c>
      <c r="AE84" t="s">
        <v>91</v>
      </c>
      <c r="AF84" t="str">
        <f t="shared" si="17"/>
        <v>Hispanic or Latino</v>
      </c>
    </row>
    <row r="85" spans="1:32" x14ac:dyDescent="0.45">
      <c r="A85" t="s">
        <v>342</v>
      </c>
      <c r="B85" t="s">
        <v>25</v>
      </c>
      <c r="C85" s="3" t="s">
        <v>26</v>
      </c>
      <c r="D85" s="3">
        <f t="shared" si="9"/>
        <v>44840</v>
      </c>
      <c r="E85" t="s">
        <v>343</v>
      </c>
      <c r="F85" s="4">
        <f t="shared" si="10"/>
        <v>0.3923611111111111</v>
      </c>
      <c r="G85" t="s">
        <v>344</v>
      </c>
      <c r="H85" t="s">
        <v>30</v>
      </c>
      <c r="I85" t="str">
        <f t="shared" si="11"/>
        <v>Data Analyst</v>
      </c>
      <c r="J85" t="s">
        <v>31</v>
      </c>
      <c r="K85" t="s">
        <v>94</v>
      </c>
      <c r="L85">
        <f t="shared" si="12"/>
        <v>75.5</v>
      </c>
      <c r="M85" t="s">
        <v>108</v>
      </c>
      <c r="N85" t="str">
        <f t="shared" si="13"/>
        <v>Education</v>
      </c>
      <c r="O85" t="s">
        <v>46</v>
      </c>
      <c r="P85" t="str">
        <f t="shared" si="14"/>
        <v>R</v>
      </c>
      <c r="Q85">
        <v>7</v>
      </c>
      <c r="R85">
        <v>7</v>
      </c>
      <c r="S85">
        <v>7</v>
      </c>
      <c r="T85">
        <v>7</v>
      </c>
      <c r="U85">
        <v>4</v>
      </c>
      <c r="V85">
        <v>7</v>
      </c>
      <c r="W85" t="s">
        <v>55</v>
      </c>
      <c r="X85" t="s">
        <v>36</v>
      </c>
      <c r="Y85" t="s">
        <v>37</v>
      </c>
      <c r="Z85">
        <v>31</v>
      </c>
      <c r="AA85" t="s">
        <v>38</v>
      </c>
      <c r="AB85" t="str">
        <f t="shared" si="15"/>
        <v>United States</v>
      </c>
      <c r="AC85" t="s">
        <v>240</v>
      </c>
      <c r="AD85" t="str">
        <f t="shared" si="16"/>
        <v>Masters</v>
      </c>
      <c r="AE85" t="s">
        <v>39</v>
      </c>
      <c r="AF85" t="str">
        <f t="shared" si="17"/>
        <v>White or Caucasian</v>
      </c>
    </row>
    <row r="86" spans="1:32" x14ac:dyDescent="0.45">
      <c r="A86" t="s">
        <v>345</v>
      </c>
      <c r="B86" t="s">
        <v>25</v>
      </c>
      <c r="C86" s="3" t="s">
        <v>26</v>
      </c>
      <c r="D86" s="3">
        <f t="shared" si="9"/>
        <v>44840</v>
      </c>
      <c r="E86" t="s">
        <v>346</v>
      </c>
      <c r="F86" s="4">
        <f t="shared" si="10"/>
        <v>0.39305555555555555</v>
      </c>
      <c r="G86" t="s">
        <v>42</v>
      </c>
      <c r="H86" t="s">
        <v>30</v>
      </c>
      <c r="I86" t="str">
        <f t="shared" si="11"/>
        <v>Data Analyst</v>
      </c>
      <c r="J86" t="s">
        <v>31</v>
      </c>
      <c r="K86" t="s">
        <v>53</v>
      </c>
      <c r="L86">
        <f t="shared" si="12"/>
        <v>20</v>
      </c>
      <c r="M86" t="s">
        <v>45</v>
      </c>
      <c r="N86" t="str">
        <f t="shared" si="13"/>
        <v>Finance</v>
      </c>
      <c r="O86" t="s">
        <v>34</v>
      </c>
      <c r="P86" t="str">
        <f t="shared" si="14"/>
        <v>Python</v>
      </c>
      <c r="Q86">
        <v>10</v>
      </c>
      <c r="R86">
        <v>9</v>
      </c>
      <c r="S86">
        <v>9</v>
      </c>
      <c r="T86">
        <v>10</v>
      </c>
      <c r="U86">
        <v>9</v>
      </c>
      <c r="V86">
        <v>10</v>
      </c>
      <c r="W86" t="s">
        <v>85</v>
      </c>
      <c r="X86" t="s">
        <v>114</v>
      </c>
      <c r="Y86" t="s">
        <v>37</v>
      </c>
      <c r="Z86">
        <v>30</v>
      </c>
      <c r="AA86" t="s">
        <v>347</v>
      </c>
      <c r="AB86" t="str">
        <f t="shared" si="15"/>
        <v>Other</v>
      </c>
      <c r="AC86" t="s">
        <v>240</v>
      </c>
      <c r="AD86" t="str">
        <f t="shared" si="16"/>
        <v>Masters</v>
      </c>
      <c r="AE86" t="s">
        <v>91</v>
      </c>
      <c r="AF86" t="str">
        <f t="shared" si="17"/>
        <v>Hispanic or Latino</v>
      </c>
    </row>
    <row r="87" spans="1:32" x14ac:dyDescent="0.45">
      <c r="A87" t="s">
        <v>348</v>
      </c>
      <c r="B87" t="s">
        <v>25</v>
      </c>
      <c r="C87" s="3" t="s">
        <v>26</v>
      </c>
      <c r="D87" s="3">
        <f t="shared" si="9"/>
        <v>44840</v>
      </c>
      <c r="E87" t="s">
        <v>346</v>
      </c>
      <c r="F87" s="4">
        <f t="shared" si="10"/>
        <v>0.39305555555555555</v>
      </c>
      <c r="G87" t="s">
        <v>349</v>
      </c>
      <c r="H87" t="s">
        <v>52</v>
      </c>
      <c r="I87" t="str">
        <f t="shared" si="11"/>
        <v>Data Engineer</v>
      </c>
      <c r="J87" t="s">
        <v>31</v>
      </c>
      <c r="K87" t="s">
        <v>53</v>
      </c>
      <c r="L87">
        <f t="shared" si="12"/>
        <v>20</v>
      </c>
      <c r="M87" t="s">
        <v>103</v>
      </c>
      <c r="N87" t="str">
        <f t="shared" si="13"/>
        <v>Tech</v>
      </c>
      <c r="O87" t="s">
        <v>34</v>
      </c>
      <c r="P87" t="str">
        <f t="shared" si="14"/>
        <v>Python</v>
      </c>
      <c r="Q87">
        <v>7</v>
      </c>
      <c r="R87">
        <v>8</v>
      </c>
      <c r="S87">
        <v>6</v>
      </c>
      <c r="T87">
        <v>5</v>
      </c>
      <c r="U87">
        <v>5</v>
      </c>
      <c r="V87">
        <v>9</v>
      </c>
      <c r="W87" t="s">
        <v>69</v>
      </c>
      <c r="X87" t="s">
        <v>70</v>
      </c>
      <c r="Y87" t="s">
        <v>37</v>
      </c>
      <c r="Z87">
        <v>33</v>
      </c>
      <c r="AA87" t="s">
        <v>347</v>
      </c>
      <c r="AB87" t="str">
        <f t="shared" si="15"/>
        <v>Other</v>
      </c>
      <c r="AC87" t="s">
        <v>240</v>
      </c>
      <c r="AD87" t="str">
        <f t="shared" si="16"/>
        <v>Masters</v>
      </c>
      <c r="AE87" t="s">
        <v>91</v>
      </c>
      <c r="AF87" t="str">
        <f t="shared" si="17"/>
        <v>Hispanic or Latino</v>
      </c>
    </row>
    <row r="88" spans="1:32" x14ac:dyDescent="0.45">
      <c r="A88" t="s">
        <v>350</v>
      </c>
      <c r="B88" t="s">
        <v>25</v>
      </c>
      <c r="C88" s="3" t="s">
        <v>26</v>
      </c>
      <c r="D88" s="3">
        <f t="shared" si="9"/>
        <v>44840</v>
      </c>
      <c r="E88" t="s">
        <v>351</v>
      </c>
      <c r="F88" s="4">
        <f t="shared" si="10"/>
        <v>0.39374999999999999</v>
      </c>
      <c r="G88" t="s">
        <v>352</v>
      </c>
      <c r="H88" t="s">
        <v>30</v>
      </c>
      <c r="I88" t="str">
        <f t="shared" si="11"/>
        <v>Data Analyst</v>
      </c>
      <c r="J88" t="s">
        <v>43</v>
      </c>
      <c r="K88" t="s">
        <v>94</v>
      </c>
      <c r="L88">
        <f t="shared" si="12"/>
        <v>75.5</v>
      </c>
      <c r="M88" t="s">
        <v>83</v>
      </c>
      <c r="N88" t="str">
        <f t="shared" si="13"/>
        <v>Other</v>
      </c>
      <c r="O88" t="s">
        <v>34</v>
      </c>
      <c r="P88" t="str">
        <f t="shared" si="14"/>
        <v>Python</v>
      </c>
      <c r="Q88">
        <v>7</v>
      </c>
      <c r="R88">
        <v>8</v>
      </c>
      <c r="S88">
        <v>9</v>
      </c>
      <c r="T88">
        <v>7</v>
      </c>
      <c r="U88">
        <v>7</v>
      </c>
      <c r="V88">
        <v>7</v>
      </c>
      <c r="W88" t="s">
        <v>85</v>
      </c>
      <c r="X88" t="s">
        <v>70</v>
      </c>
      <c r="Y88" t="s">
        <v>37</v>
      </c>
      <c r="Z88">
        <v>25</v>
      </c>
      <c r="AA88" t="s">
        <v>38</v>
      </c>
      <c r="AB88" t="str">
        <f t="shared" si="15"/>
        <v>United States</v>
      </c>
      <c r="AC88" t="s">
        <v>237</v>
      </c>
      <c r="AD88" t="str">
        <f t="shared" si="16"/>
        <v>Bachelors</v>
      </c>
      <c r="AE88" t="s">
        <v>39</v>
      </c>
      <c r="AF88" t="str">
        <f t="shared" si="17"/>
        <v>White or Caucasian</v>
      </c>
    </row>
    <row r="89" spans="1:32" x14ac:dyDescent="0.45">
      <c r="A89" t="s">
        <v>353</v>
      </c>
      <c r="B89" t="s">
        <v>25</v>
      </c>
      <c r="C89" s="3" t="s">
        <v>26</v>
      </c>
      <c r="D89" s="3">
        <f t="shared" si="9"/>
        <v>44840</v>
      </c>
      <c r="E89" t="s">
        <v>351</v>
      </c>
      <c r="F89" s="4">
        <f t="shared" si="10"/>
        <v>0.39374999999999999</v>
      </c>
      <c r="G89" t="s">
        <v>275</v>
      </c>
      <c r="H89" t="s">
        <v>123</v>
      </c>
      <c r="I89" t="str">
        <f t="shared" si="11"/>
        <v>None</v>
      </c>
      <c r="J89" t="s">
        <v>43</v>
      </c>
      <c r="K89" t="s">
        <v>53</v>
      </c>
      <c r="L89">
        <f t="shared" si="12"/>
        <v>20</v>
      </c>
      <c r="M89" t="s">
        <v>103</v>
      </c>
      <c r="N89" t="str">
        <f t="shared" si="13"/>
        <v>Tech</v>
      </c>
      <c r="O89" t="s">
        <v>46</v>
      </c>
      <c r="P89" t="str">
        <f t="shared" si="14"/>
        <v>R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85</v>
      </c>
      <c r="X89" t="s">
        <v>56</v>
      </c>
      <c r="Y89" t="s">
        <v>37</v>
      </c>
      <c r="Z89">
        <v>23</v>
      </c>
      <c r="AA89" t="s">
        <v>147</v>
      </c>
      <c r="AB89" t="str">
        <f t="shared" si="15"/>
        <v>India</v>
      </c>
      <c r="AC89" t="s">
        <v>237</v>
      </c>
      <c r="AD89" t="str">
        <f t="shared" si="16"/>
        <v>Bachelors</v>
      </c>
      <c r="AE89" t="s">
        <v>200</v>
      </c>
      <c r="AF89" t="str">
        <f t="shared" si="17"/>
        <v>Other</v>
      </c>
    </row>
    <row r="90" spans="1:32" x14ac:dyDescent="0.45">
      <c r="A90" t="s">
        <v>354</v>
      </c>
      <c r="B90" t="s">
        <v>25</v>
      </c>
      <c r="C90" s="3" t="s">
        <v>26</v>
      </c>
      <c r="D90" s="3">
        <f t="shared" si="9"/>
        <v>44840</v>
      </c>
      <c r="E90" t="s">
        <v>351</v>
      </c>
      <c r="F90" s="4">
        <f t="shared" si="10"/>
        <v>0.39374999999999999</v>
      </c>
      <c r="G90" t="s">
        <v>68</v>
      </c>
      <c r="H90" t="s">
        <v>30</v>
      </c>
      <c r="I90" t="str">
        <f t="shared" si="11"/>
        <v>Data Analyst</v>
      </c>
      <c r="J90" t="s">
        <v>31</v>
      </c>
      <c r="K90" t="s">
        <v>44</v>
      </c>
      <c r="L90">
        <f t="shared" si="12"/>
        <v>53</v>
      </c>
      <c r="M90" t="s">
        <v>355</v>
      </c>
      <c r="N90" t="str">
        <f t="shared" si="13"/>
        <v>Other</v>
      </c>
      <c r="O90" t="s">
        <v>356</v>
      </c>
      <c r="P90" t="str">
        <f t="shared" si="14"/>
        <v>Other</v>
      </c>
      <c r="Q90">
        <v>4</v>
      </c>
      <c r="R90">
        <v>4</v>
      </c>
      <c r="S90">
        <v>3</v>
      </c>
      <c r="T90">
        <v>3</v>
      </c>
      <c r="U90">
        <v>5</v>
      </c>
      <c r="V90">
        <v>6</v>
      </c>
      <c r="W90" t="s">
        <v>35</v>
      </c>
      <c r="X90" t="s">
        <v>70</v>
      </c>
      <c r="Y90" t="s">
        <v>37</v>
      </c>
      <c r="Z90">
        <v>33</v>
      </c>
      <c r="AA90" t="s">
        <v>38</v>
      </c>
      <c r="AB90" t="str">
        <f t="shared" si="15"/>
        <v>United States</v>
      </c>
      <c r="AC90" t="s">
        <v>237</v>
      </c>
      <c r="AD90" t="str">
        <f t="shared" si="16"/>
        <v>Bachelors</v>
      </c>
      <c r="AE90" t="s">
        <v>48</v>
      </c>
      <c r="AF90" t="str">
        <f t="shared" si="17"/>
        <v>Asian or Asian American</v>
      </c>
    </row>
    <row r="91" spans="1:32" x14ac:dyDescent="0.45">
      <c r="A91" t="s">
        <v>357</v>
      </c>
      <c r="B91" t="s">
        <v>25</v>
      </c>
      <c r="C91" s="3" t="s">
        <v>26</v>
      </c>
      <c r="D91" s="3">
        <f t="shared" si="9"/>
        <v>44840</v>
      </c>
      <c r="E91" t="s">
        <v>351</v>
      </c>
      <c r="F91" s="4">
        <f t="shared" si="10"/>
        <v>0.39374999999999999</v>
      </c>
      <c r="G91" t="s">
        <v>358</v>
      </c>
      <c r="H91" t="s">
        <v>266</v>
      </c>
      <c r="I91" t="str">
        <f t="shared" si="11"/>
        <v>Other</v>
      </c>
      <c r="J91" t="s">
        <v>31</v>
      </c>
      <c r="K91" t="s">
        <v>94</v>
      </c>
      <c r="L91">
        <f t="shared" si="12"/>
        <v>75.5</v>
      </c>
      <c r="M91" t="s">
        <v>95</v>
      </c>
      <c r="N91" t="str">
        <f t="shared" si="13"/>
        <v>Other</v>
      </c>
      <c r="O91" t="s">
        <v>34</v>
      </c>
      <c r="P91" t="str">
        <f t="shared" si="14"/>
        <v>Python</v>
      </c>
      <c r="Q91">
        <v>7</v>
      </c>
      <c r="R91">
        <v>9</v>
      </c>
      <c r="S91">
        <v>9</v>
      </c>
      <c r="T91">
        <v>8</v>
      </c>
      <c r="U91">
        <v>8</v>
      </c>
      <c r="V91">
        <v>9</v>
      </c>
      <c r="W91" t="s">
        <v>85</v>
      </c>
      <c r="X91" t="s">
        <v>56</v>
      </c>
      <c r="Y91" t="s">
        <v>37</v>
      </c>
      <c r="Z91">
        <v>35</v>
      </c>
      <c r="AA91" t="s">
        <v>359</v>
      </c>
      <c r="AB91" t="str">
        <f t="shared" si="15"/>
        <v>Other</v>
      </c>
      <c r="AC91" t="s">
        <v>237</v>
      </c>
      <c r="AD91" t="str">
        <f t="shared" si="16"/>
        <v>Bachelors</v>
      </c>
      <c r="AE91" t="s">
        <v>91</v>
      </c>
      <c r="AF91" t="str">
        <f t="shared" si="17"/>
        <v>Hispanic or Latino</v>
      </c>
    </row>
    <row r="92" spans="1:32" x14ac:dyDescent="0.45">
      <c r="A92" t="s">
        <v>360</v>
      </c>
      <c r="B92" t="s">
        <v>25</v>
      </c>
      <c r="C92" s="3" t="s">
        <v>26</v>
      </c>
      <c r="D92" s="3">
        <f t="shared" si="9"/>
        <v>44840</v>
      </c>
      <c r="E92" t="s">
        <v>351</v>
      </c>
      <c r="F92" s="4">
        <f t="shared" si="10"/>
        <v>0.39374999999999999</v>
      </c>
      <c r="G92" t="s">
        <v>210</v>
      </c>
      <c r="H92" t="s">
        <v>30</v>
      </c>
      <c r="I92" t="str">
        <f t="shared" si="11"/>
        <v>Data Analyst</v>
      </c>
      <c r="J92" t="s">
        <v>43</v>
      </c>
      <c r="K92" t="s">
        <v>44</v>
      </c>
      <c r="L92">
        <f t="shared" si="12"/>
        <v>53</v>
      </c>
      <c r="M92" t="s">
        <v>361</v>
      </c>
      <c r="N92" t="str">
        <f t="shared" si="13"/>
        <v>Other</v>
      </c>
      <c r="O92" t="s">
        <v>34</v>
      </c>
      <c r="P92" t="str">
        <f t="shared" si="14"/>
        <v>Python</v>
      </c>
      <c r="Q92">
        <v>6</v>
      </c>
      <c r="R92">
        <v>8</v>
      </c>
      <c r="S92">
        <v>5</v>
      </c>
      <c r="T92" t="s">
        <v>28</v>
      </c>
      <c r="U92">
        <v>6</v>
      </c>
      <c r="V92">
        <v>9</v>
      </c>
      <c r="W92" t="s">
        <v>85</v>
      </c>
      <c r="X92" t="s">
        <v>36</v>
      </c>
      <c r="Y92" t="s">
        <v>65</v>
      </c>
      <c r="Z92">
        <v>42</v>
      </c>
      <c r="AA92" t="s">
        <v>183</v>
      </c>
      <c r="AB92" t="str">
        <f t="shared" si="15"/>
        <v>Other</v>
      </c>
      <c r="AC92" t="s">
        <v>240</v>
      </c>
      <c r="AD92" t="str">
        <f t="shared" si="16"/>
        <v>Masters</v>
      </c>
      <c r="AE92" t="s">
        <v>39</v>
      </c>
      <c r="AF92" t="str">
        <f t="shared" si="17"/>
        <v>White or Caucasian</v>
      </c>
    </row>
    <row r="93" spans="1:32" x14ac:dyDescent="0.45">
      <c r="A93" t="s">
        <v>362</v>
      </c>
      <c r="B93" t="s">
        <v>25</v>
      </c>
      <c r="C93" s="3" t="s">
        <v>26</v>
      </c>
      <c r="D93" s="3">
        <f t="shared" si="9"/>
        <v>44840</v>
      </c>
      <c r="E93" t="s">
        <v>363</v>
      </c>
      <c r="F93" s="4">
        <f t="shared" si="10"/>
        <v>0.39513888888888887</v>
      </c>
      <c r="G93" t="s">
        <v>364</v>
      </c>
      <c r="H93" t="s">
        <v>30</v>
      </c>
      <c r="I93" t="str">
        <f t="shared" si="11"/>
        <v>Data Analyst</v>
      </c>
      <c r="J93" t="s">
        <v>43</v>
      </c>
      <c r="K93" t="s">
        <v>94</v>
      </c>
      <c r="L93">
        <f t="shared" si="12"/>
        <v>75.5</v>
      </c>
      <c r="M93" t="s">
        <v>103</v>
      </c>
      <c r="N93" t="str">
        <f t="shared" si="13"/>
        <v>Tech</v>
      </c>
      <c r="O93" t="s">
        <v>34</v>
      </c>
      <c r="P93" t="str">
        <f t="shared" si="14"/>
        <v>Python</v>
      </c>
      <c r="Q93">
        <v>3</v>
      </c>
      <c r="R93">
        <v>4</v>
      </c>
      <c r="S93">
        <v>2</v>
      </c>
      <c r="T93">
        <v>1</v>
      </c>
      <c r="U93">
        <v>0</v>
      </c>
      <c r="V93">
        <v>4</v>
      </c>
      <c r="W93" t="s">
        <v>85</v>
      </c>
      <c r="X93" t="s">
        <v>70</v>
      </c>
      <c r="Y93" t="s">
        <v>37</v>
      </c>
      <c r="Z93">
        <v>25</v>
      </c>
      <c r="AA93" t="s">
        <v>38</v>
      </c>
      <c r="AB93" t="str">
        <f t="shared" si="15"/>
        <v>United States</v>
      </c>
      <c r="AC93" t="s">
        <v>237</v>
      </c>
      <c r="AD93" t="str">
        <f t="shared" si="16"/>
        <v>Bachelors</v>
      </c>
      <c r="AE93" t="s">
        <v>39</v>
      </c>
      <c r="AF93" t="str">
        <f t="shared" si="17"/>
        <v>White or Caucasian</v>
      </c>
    </row>
    <row r="94" spans="1:32" x14ac:dyDescent="0.45">
      <c r="A94" t="s">
        <v>365</v>
      </c>
      <c r="B94" t="s">
        <v>25</v>
      </c>
      <c r="C94" s="3" t="s">
        <v>26</v>
      </c>
      <c r="D94" s="3">
        <f t="shared" si="9"/>
        <v>44840</v>
      </c>
      <c r="E94" t="s">
        <v>366</v>
      </c>
      <c r="F94" s="4">
        <f t="shared" si="10"/>
        <v>0.39583333333333331</v>
      </c>
      <c r="G94" t="s">
        <v>367</v>
      </c>
      <c r="H94" t="s">
        <v>30</v>
      </c>
      <c r="I94" t="str">
        <f t="shared" si="11"/>
        <v>Data Analyst</v>
      </c>
      <c r="J94" t="s">
        <v>43</v>
      </c>
      <c r="K94" t="s">
        <v>87</v>
      </c>
      <c r="L94">
        <f t="shared" si="12"/>
        <v>95.5</v>
      </c>
      <c r="M94" t="s">
        <v>178</v>
      </c>
      <c r="N94" t="str">
        <f t="shared" si="13"/>
        <v>Other</v>
      </c>
      <c r="O94" t="s">
        <v>34</v>
      </c>
      <c r="P94" t="str">
        <f t="shared" si="14"/>
        <v>Python</v>
      </c>
      <c r="Q94">
        <v>5</v>
      </c>
      <c r="R94">
        <v>4</v>
      </c>
      <c r="S94">
        <v>5</v>
      </c>
      <c r="T94">
        <v>4</v>
      </c>
      <c r="U94">
        <v>3</v>
      </c>
      <c r="V94">
        <v>6</v>
      </c>
      <c r="W94" t="s">
        <v>85</v>
      </c>
      <c r="X94" t="s">
        <v>368</v>
      </c>
      <c r="Y94" t="s">
        <v>37</v>
      </c>
      <c r="Z94">
        <v>23</v>
      </c>
      <c r="AA94" t="s">
        <v>38</v>
      </c>
      <c r="AB94" t="str">
        <f t="shared" si="15"/>
        <v>United States</v>
      </c>
      <c r="AC94" t="s">
        <v>237</v>
      </c>
      <c r="AD94" t="str">
        <f t="shared" si="16"/>
        <v>Bachelors</v>
      </c>
      <c r="AE94" t="s">
        <v>39</v>
      </c>
      <c r="AF94" t="str">
        <f t="shared" si="17"/>
        <v>White or Caucasian</v>
      </c>
    </row>
    <row r="95" spans="1:32" x14ac:dyDescent="0.45">
      <c r="A95" t="s">
        <v>369</v>
      </c>
      <c r="B95" t="s">
        <v>25</v>
      </c>
      <c r="C95" s="3" t="s">
        <v>26</v>
      </c>
      <c r="D95" s="3">
        <f t="shared" si="9"/>
        <v>44840</v>
      </c>
      <c r="E95" t="s">
        <v>370</v>
      </c>
      <c r="F95" s="4">
        <f t="shared" si="10"/>
        <v>0.39652777777777776</v>
      </c>
      <c r="G95" t="s">
        <v>371</v>
      </c>
      <c r="H95" t="s">
        <v>372</v>
      </c>
      <c r="I95" t="str">
        <f t="shared" si="11"/>
        <v>Other</v>
      </c>
      <c r="J95" t="s">
        <v>43</v>
      </c>
      <c r="K95" t="s">
        <v>44</v>
      </c>
      <c r="L95">
        <f t="shared" si="12"/>
        <v>53</v>
      </c>
      <c r="M95" t="s">
        <v>33</v>
      </c>
      <c r="N95" t="str">
        <f t="shared" si="13"/>
        <v>Healthcare</v>
      </c>
      <c r="O95" t="s">
        <v>204</v>
      </c>
      <c r="P95" t="str">
        <f t="shared" si="14"/>
        <v>JavaScript</v>
      </c>
      <c r="Q95">
        <v>2</v>
      </c>
      <c r="R95">
        <v>4</v>
      </c>
      <c r="S95">
        <v>6</v>
      </c>
      <c r="T95">
        <v>5</v>
      </c>
      <c r="U95">
        <v>3</v>
      </c>
      <c r="V95">
        <v>4</v>
      </c>
      <c r="W95" t="s">
        <v>55</v>
      </c>
      <c r="X95" t="s">
        <v>70</v>
      </c>
      <c r="Y95" t="s">
        <v>65</v>
      </c>
      <c r="Z95">
        <v>51</v>
      </c>
      <c r="AA95" t="s">
        <v>38</v>
      </c>
      <c r="AB95" t="str">
        <f t="shared" si="15"/>
        <v>United States</v>
      </c>
      <c r="AC95" t="s">
        <v>237</v>
      </c>
      <c r="AD95" t="str">
        <f t="shared" si="16"/>
        <v>Bachelors</v>
      </c>
      <c r="AE95" t="s">
        <v>58</v>
      </c>
      <c r="AF95" t="str">
        <f t="shared" si="17"/>
        <v>Black or African American</v>
      </c>
    </row>
    <row r="96" spans="1:32" x14ac:dyDescent="0.45">
      <c r="A96" t="s">
        <v>373</v>
      </c>
      <c r="B96" t="s">
        <v>25</v>
      </c>
      <c r="C96" s="3" t="s">
        <v>26</v>
      </c>
      <c r="D96" s="3">
        <f t="shared" si="9"/>
        <v>44840</v>
      </c>
      <c r="E96" t="s">
        <v>374</v>
      </c>
      <c r="F96" s="4">
        <f t="shared" si="10"/>
        <v>0.3972222222222222</v>
      </c>
      <c r="G96" t="s">
        <v>375</v>
      </c>
      <c r="H96" t="s">
        <v>30</v>
      </c>
      <c r="I96" t="str">
        <f t="shared" si="11"/>
        <v>Data Analyst</v>
      </c>
      <c r="J96" t="s">
        <v>43</v>
      </c>
      <c r="K96" t="s">
        <v>53</v>
      </c>
      <c r="L96">
        <f t="shared" si="12"/>
        <v>20</v>
      </c>
      <c r="M96" t="s">
        <v>90</v>
      </c>
      <c r="N96" t="str">
        <f t="shared" si="13"/>
        <v>Telecommunication</v>
      </c>
      <c r="O96" t="s">
        <v>376</v>
      </c>
      <c r="P96" t="str">
        <f t="shared" si="14"/>
        <v>Other</v>
      </c>
      <c r="Q96">
        <v>1</v>
      </c>
      <c r="R96">
        <v>4</v>
      </c>
      <c r="S96">
        <v>4</v>
      </c>
      <c r="T96">
        <v>3</v>
      </c>
      <c r="U96">
        <v>2</v>
      </c>
      <c r="V96">
        <v>6</v>
      </c>
      <c r="W96" t="s">
        <v>35</v>
      </c>
      <c r="X96" t="s">
        <v>70</v>
      </c>
      <c r="Y96" t="s">
        <v>37</v>
      </c>
      <c r="Z96">
        <v>30</v>
      </c>
      <c r="AA96" t="s">
        <v>109</v>
      </c>
      <c r="AB96" t="str">
        <f t="shared" si="15"/>
        <v>United Kingdom</v>
      </c>
      <c r="AC96" t="s">
        <v>237</v>
      </c>
      <c r="AD96" t="str">
        <f t="shared" si="16"/>
        <v>Bachelors</v>
      </c>
      <c r="AE96" t="s">
        <v>58</v>
      </c>
      <c r="AF96" t="str">
        <f t="shared" si="17"/>
        <v>Black or African American</v>
      </c>
    </row>
    <row r="97" spans="1:32" x14ac:dyDescent="0.45">
      <c r="A97" t="s">
        <v>377</v>
      </c>
      <c r="B97" t="s">
        <v>25</v>
      </c>
      <c r="C97" s="3" t="s">
        <v>26</v>
      </c>
      <c r="D97" s="3">
        <f t="shared" si="9"/>
        <v>44840</v>
      </c>
      <c r="E97" t="s">
        <v>378</v>
      </c>
      <c r="F97" s="4">
        <f t="shared" si="10"/>
        <v>0.39791666666666664</v>
      </c>
      <c r="G97" t="s">
        <v>333</v>
      </c>
      <c r="H97" t="s">
        <v>30</v>
      </c>
      <c r="I97" t="str">
        <f t="shared" si="11"/>
        <v>Data Analyst</v>
      </c>
      <c r="J97" t="s">
        <v>31</v>
      </c>
      <c r="K97" t="s">
        <v>44</v>
      </c>
      <c r="L97">
        <f t="shared" si="12"/>
        <v>53</v>
      </c>
      <c r="M97" t="s">
        <v>45</v>
      </c>
      <c r="N97" t="str">
        <f t="shared" si="13"/>
        <v>Finance</v>
      </c>
      <c r="O97" t="s">
        <v>34</v>
      </c>
      <c r="P97" t="str">
        <f t="shared" si="14"/>
        <v>Python</v>
      </c>
      <c r="Q97">
        <v>8</v>
      </c>
      <c r="R97">
        <v>9</v>
      </c>
      <c r="S97">
        <v>9</v>
      </c>
      <c r="T97">
        <v>9</v>
      </c>
      <c r="U97">
        <v>9</v>
      </c>
      <c r="V97">
        <v>8</v>
      </c>
      <c r="W97" t="s">
        <v>35</v>
      </c>
      <c r="X97" t="s">
        <v>70</v>
      </c>
      <c r="Y97" t="s">
        <v>37</v>
      </c>
      <c r="Z97">
        <v>23</v>
      </c>
      <c r="AA97" t="s">
        <v>147</v>
      </c>
      <c r="AB97" t="str">
        <f t="shared" si="15"/>
        <v>India</v>
      </c>
      <c r="AC97" t="s">
        <v>237</v>
      </c>
      <c r="AD97" t="str">
        <f t="shared" si="16"/>
        <v>Bachelors</v>
      </c>
      <c r="AE97" t="s">
        <v>48</v>
      </c>
      <c r="AF97" t="str">
        <f t="shared" si="17"/>
        <v>Asian or Asian American</v>
      </c>
    </row>
    <row r="98" spans="1:32" x14ac:dyDescent="0.45">
      <c r="A98" t="s">
        <v>379</v>
      </c>
      <c r="B98" t="s">
        <v>25</v>
      </c>
      <c r="C98" s="3" t="s">
        <v>26</v>
      </c>
      <c r="D98" s="3">
        <f t="shared" si="9"/>
        <v>44840</v>
      </c>
      <c r="E98" t="s">
        <v>380</v>
      </c>
      <c r="F98" s="4">
        <f t="shared" si="10"/>
        <v>0.39861111111111114</v>
      </c>
      <c r="G98" t="s">
        <v>119</v>
      </c>
      <c r="H98" t="s">
        <v>381</v>
      </c>
      <c r="I98" t="str">
        <f t="shared" si="11"/>
        <v>Other</v>
      </c>
      <c r="J98" t="s">
        <v>31</v>
      </c>
      <c r="K98" t="s">
        <v>44</v>
      </c>
      <c r="L98">
        <f t="shared" si="12"/>
        <v>53</v>
      </c>
      <c r="M98" t="s">
        <v>355</v>
      </c>
      <c r="N98" t="str">
        <f t="shared" si="13"/>
        <v>Other</v>
      </c>
      <c r="O98" t="s">
        <v>46</v>
      </c>
      <c r="P98" t="str">
        <f t="shared" si="14"/>
        <v>R</v>
      </c>
      <c r="Q98">
        <v>3</v>
      </c>
      <c r="R98">
        <v>5</v>
      </c>
      <c r="S98">
        <v>5</v>
      </c>
      <c r="T98">
        <v>6</v>
      </c>
      <c r="U98">
        <v>3</v>
      </c>
      <c r="V98">
        <v>4</v>
      </c>
      <c r="W98" t="s">
        <v>85</v>
      </c>
      <c r="X98" t="s">
        <v>70</v>
      </c>
      <c r="Y98" t="s">
        <v>37</v>
      </c>
      <c r="Z98">
        <v>24</v>
      </c>
      <c r="AA98" t="s">
        <v>47</v>
      </c>
      <c r="AB98" t="str">
        <f t="shared" si="15"/>
        <v>Canada</v>
      </c>
      <c r="AC98" t="s">
        <v>237</v>
      </c>
      <c r="AD98" t="str">
        <f t="shared" si="16"/>
        <v>Bachelors</v>
      </c>
      <c r="AE98" t="s">
        <v>48</v>
      </c>
      <c r="AF98" t="str">
        <f t="shared" si="17"/>
        <v>Asian or Asian American</v>
      </c>
    </row>
    <row r="99" spans="1:32" x14ac:dyDescent="0.45">
      <c r="A99" t="s">
        <v>382</v>
      </c>
      <c r="B99" t="s">
        <v>25</v>
      </c>
      <c r="C99" s="3" t="s">
        <v>26</v>
      </c>
      <c r="D99" s="3">
        <f t="shared" si="9"/>
        <v>44840</v>
      </c>
      <c r="E99" t="s">
        <v>383</v>
      </c>
      <c r="F99" s="4">
        <f t="shared" si="10"/>
        <v>0.39930555555555558</v>
      </c>
      <c r="G99" t="s">
        <v>119</v>
      </c>
      <c r="H99" t="s">
        <v>123</v>
      </c>
      <c r="I99" t="str">
        <f t="shared" si="11"/>
        <v>None</v>
      </c>
      <c r="J99" t="s">
        <v>31</v>
      </c>
      <c r="K99" t="s">
        <v>44</v>
      </c>
      <c r="L99">
        <f t="shared" si="12"/>
        <v>53</v>
      </c>
      <c r="M99" t="s">
        <v>103</v>
      </c>
      <c r="N99" t="str">
        <f t="shared" si="13"/>
        <v>Tech</v>
      </c>
      <c r="O99" t="s">
        <v>34</v>
      </c>
      <c r="P99" t="str">
        <f t="shared" si="14"/>
        <v>Python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 t="s">
        <v>55</v>
      </c>
      <c r="X99" t="s">
        <v>114</v>
      </c>
      <c r="Y99" t="s">
        <v>37</v>
      </c>
      <c r="Z99">
        <v>25</v>
      </c>
      <c r="AA99" t="s">
        <v>199</v>
      </c>
      <c r="AB99" t="str">
        <f t="shared" si="15"/>
        <v>Other</v>
      </c>
      <c r="AC99" t="s">
        <v>240</v>
      </c>
      <c r="AD99" t="str">
        <f t="shared" si="16"/>
        <v>Masters</v>
      </c>
      <c r="AE99" t="s">
        <v>48</v>
      </c>
      <c r="AF99" t="str">
        <f t="shared" si="17"/>
        <v>Asian or Asian American</v>
      </c>
    </row>
    <row r="100" spans="1:32" x14ac:dyDescent="0.45">
      <c r="A100" t="s">
        <v>384</v>
      </c>
      <c r="B100" t="s">
        <v>25</v>
      </c>
      <c r="C100" s="3" t="s">
        <v>26</v>
      </c>
      <c r="D100" s="3">
        <f t="shared" si="9"/>
        <v>44840</v>
      </c>
      <c r="E100" t="s">
        <v>383</v>
      </c>
      <c r="F100" s="4">
        <f t="shared" si="10"/>
        <v>0.39930555555555558</v>
      </c>
      <c r="G100" t="s">
        <v>385</v>
      </c>
      <c r="H100" t="s">
        <v>30</v>
      </c>
      <c r="I100" t="str">
        <f t="shared" si="11"/>
        <v>Data Analyst</v>
      </c>
      <c r="J100" t="s">
        <v>31</v>
      </c>
      <c r="K100" t="s">
        <v>44</v>
      </c>
      <c r="L100">
        <f t="shared" si="12"/>
        <v>53</v>
      </c>
      <c r="M100" t="s">
        <v>45</v>
      </c>
      <c r="N100" t="str">
        <f t="shared" si="13"/>
        <v>Finance</v>
      </c>
      <c r="O100" t="s">
        <v>34</v>
      </c>
      <c r="P100" t="str">
        <f t="shared" si="14"/>
        <v>Python</v>
      </c>
      <c r="Q100">
        <v>4</v>
      </c>
      <c r="R100">
        <v>4</v>
      </c>
      <c r="S100">
        <v>6</v>
      </c>
      <c r="T100">
        <v>4</v>
      </c>
      <c r="U100">
        <v>5</v>
      </c>
      <c r="V100">
        <v>6</v>
      </c>
      <c r="W100" t="s">
        <v>69</v>
      </c>
      <c r="X100" t="s">
        <v>70</v>
      </c>
      <c r="Y100" t="s">
        <v>65</v>
      </c>
      <c r="Z100">
        <v>55</v>
      </c>
      <c r="AA100" t="s">
        <v>38</v>
      </c>
      <c r="AB100" t="str">
        <f t="shared" si="15"/>
        <v>United States</v>
      </c>
      <c r="AC100" t="s">
        <v>240</v>
      </c>
      <c r="AD100" t="str">
        <f t="shared" si="16"/>
        <v>Masters</v>
      </c>
      <c r="AE100" t="s">
        <v>386</v>
      </c>
      <c r="AF100" t="str">
        <f t="shared" si="17"/>
        <v>Other</v>
      </c>
    </row>
    <row r="101" spans="1:32" x14ac:dyDescent="0.45">
      <c r="A101" t="s">
        <v>387</v>
      </c>
      <c r="B101" t="s">
        <v>25</v>
      </c>
      <c r="C101" s="3" t="s">
        <v>26</v>
      </c>
      <c r="D101" s="3">
        <f t="shared" si="9"/>
        <v>44840</v>
      </c>
      <c r="E101" t="s">
        <v>388</v>
      </c>
      <c r="F101" s="4">
        <f t="shared" si="10"/>
        <v>0.4</v>
      </c>
      <c r="G101" t="s">
        <v>389</v>
      </c>
      <c r="H101" t="s">
        <v>30</v>
      </c>
      <c r="I101" t="str">
        <f t="shared" si="11"/>
        <v>Data Analyst</v>
      </c>
      <c r="J101" t="s">
        <v>43</v>
      </c>
      <c r="K101" t="s">
        <v>87</v>
      </c>
      <c r="L101">
        <f t="shared" si="12"/>
        <v>95.5</v>
      </c>
      <c r="M101" t="s">
        <v>390</v>
      </c>
      <c r="N101" t="str">
        <f t="shared" si="13"/>
        <v>Other</v>
      </c>
      <c r="O101" t="s">
        <v>46</v>
      </c>
      <c r="P101" t="str">
        <f t="shared" si="14"/>
        <v>R</v>
      </c>
      <c r="Q101">
        <v>8</v>
      </c>
      <c r="R101">
        <v>10</v>
      </c>
      <c r="S101">
        <v>8</v>
      </c>
      <c r="T101">
        <v>7</v>
      </c>
      <c r="U101">
        <v>8</v>
      </c>
      <c r="V101">
        <v>10</v>
      </c>
      <c r="W101" t="s">
        <v>64</v>
      </c>
      <c r="X101" t="s">
        <v>36</v>
      </c>
      <c r="Y101" t="s">
        <v>65</v>
      </c>
      <c r="Z101">
        <v>30</v>
      </c>
      <c r="AA101" t="s">
        <v>38</v>
      </c>
      <c r="AB101" t="str">
        <f t="shared" si="15"/>
        <v>United States</v>
      </c>
      <c r="AC101" t="s">
        <v>240</v>
      </c>
      <c r="AD101" t="str">
        <f t="shared" si="16"/>
        <v>Masters</v>
      </c>
      <c r="AE101" t="s">
        <v>39</v>
      </c>
      <c r="AF101" t="str">
        <f t="shared" si="17"/>
        <v>White or Caucasian</v>
      </c>
    </row>
    <row r="102" spans="1:32" x14ac:dyDescent="0.45">
      <c r="A102" t="s">
        <v>391</v>
      </c>
      <c r="B102" t="s">
        <v>25</v>
      </c>
      <c r="C102" s="3" t="s">
        <v>26</v>
      </c>
      <c r="D102" s="3">
        <f t="shared" si="9"/>
        <v>44840</v>
      </c>
      <c r="E102" t="s">
        <v>388</v>
      </c>
      <c r="F102" s="4">
        <f t="shared" si="10"/>
        <v>0.4</v>
      </c>
      <c r="G102" t="s">
        <v>392</v>
      </c>
      <c r="H102" t="s">
        <v>30</v>
      </c>
      <c r="I102" t="str">
        <f t="shared" si="11"/>
        <v>Data Analyst</v>
      </c>
      <c r="J102" t="s">
        <v>31</v>
      </c>
      <c r="K102" t="s">
        <v>44</v>
      </c>
      <c r="L102">
        <f t="shared" si="12"/>
        <v>53</v>
      </c>
      <c r="M102" t="s">
        <v>393</v>
      </c>
      <c r="N102" t="str">
        <f t="shared" si="13"/>
        <v>Other</v>
      </c>
      <c r="O102" t="s">
        <v>34</v>
      </c>
      <c r="P102" t="str">
        <f t="shared" si="14"/>
        <v>Python</v>
      </c>
      <c r="Q102">
        <v>9</v>
      </c>
      <c r="R102">
        <v>9</v>
      </c>
      <c r="S102">
        <v>9</v>
      </c>
      <c r="T102">
        <v>9</v>
      </c>
      <c r="U102">
        <v>7</v>
      </c>
      <c r="V102">
        <v>4</v>
      </c>
      <c r="W102" t="s">
        <v>69</v>
      </c>
      <c r="X102" t="s">
        <v>70</v>
      </c>
      <c r="Y102" t="s">
        <v>37</v>
      </c>
      <c r="Z102">
        <v>25</v>
      </c>
      <c r="AA102" t="s">
        <v>47</v>
      </c>
      <c r="AB102" t="str">
        <f t="shared" si="15"/>
        <v>Canada</v>
      </c>
      <c r="AC102" t="s">
        <v>237</v>
      </c>
      <c r="AD102" t="str">
        <f t="shared" si="16"/>
        <v>Bachelors</v>
      </c>
      <c r="AE102" t="s">
        <v>48</v>
      </c>
      <c r="AF102" t="str">
        <f t="shared" si="17"/>
        <v>Asian or Asian American</v>
      </c>
    </row>
    <row r="103" spans="1:32" x14ac:dyDescent="0.45">
      <c r="A103" t="s">
        <v>394</v>
      </c>
      <c r="B103" t="s">
        <v>25</v>
      </c>
      <c r="C103" s="3" t="s">
        <v>26</v>
      </c>
      <c r="D103" s="3">
        <f t="shared" si="9"/>
        <v>44840</v>
      </c>
      <c r="E103" t="s">
        <v>395</v>
      </c>
      <c r="F103" s="4">
        <f t="shared" si="10"/>
        <v>0.40069444444444446</v>
      </c>
      <c r="G103" t="s">
        <v>396</v>
      </c>
      <c r="H103" t="s">
        <v>30</v>
      </c>
      <c r="I103" t="str">
        <f t="shared" si="11"/>
        <v>Data Analyst</v>
      </c>
      <c r="J103" t="s">
        <v>31</v>
      </c>
      <c r="K103" t="s">
        <v>94</v>
      </c>
      <c r="L103">
        <f t="shared" si="12"/>
        <v>75.5</v>
      </c>
      <c r="M103" t="s">
        <v>397</v>
      </c>
      <c r="N103" t="str">
        <f t="shared" si="13"/>
        <v>Other</v>
      </c>
      <c r="O103" t="s">
        <v>34</v>
      </c>
      <c r="P103" t="str">
        <f t="shared" si="14"/>
        <v>Python</v>
      </c>
      <c r="Q103">
        <v>6</v>
      </c>
      <c r="R103">
        <v>9</v>
      </c>
      <c r="S103">
        <v>7</v>
      </c>
      <c r="T103">
        <v>6</v>
      </c>
      <c r="U103">
        <v>7</v>
      </c>
      <c r="V103">
        <v>7</v>
      </c>
      <c r="W103" t="s">
        <v>85</v>
      </c>
      <c r="X103" t="s">
        <v>70</v>
      </c>
      <c r="Y103" t="s">
        <v>37</v>
      </c>
      <c r="Z103">
        <v>28</v>
      </c>
      <c r="AA103" t="s">
        <v>38</v>
      </c>
      <c r="AB103" t="str">
        <f t="shared" si="15"/>
        <v>United States</v>
      </c>
      <c r="AC103" t="s">
        <v>240</v>
      </c>
      <c r="AD103" t="str">
        <f t="shared" si="16"/>
        <v>Masters</v>
      </c>
      <c r="AE103" t="s">
        <v>39</v>
      </c>
      <c r="AF103" t="str">
        <f t="shared" si="17"/>
        <v>White or Caucasian</v>
      </c>
    </row>
    <row r="104" spans="1:32" x14ac:dyDescent="0.45">
      <c r="A104" t="s">
        <v>398</v>
      </c>
      <c r="B104" t="s">
        <v>25</v>
      </c>
      <c r="C104" s="3" t="s">
        <v>26</v>
      </c>
      <c r="D104" s="3">
        <f t="shared" si="9"/>
        <v>44840</v>
      </c>
      <c r="E104" t="s">
        <v>399</v>
      </c>
      <c r="F104" s="4">
        <f t="shared" si="10"/>
        <v>0.40138888888888891</v>
      </c>
      <c r="G104" t="s">
        <v>385</v>
      </c>
      <c r="H104" t="s">
        <v>400</v>
      </c>
      <c r="I104" t="str">
        <f t="shared" si="11"/>
        <v>Other</v>
      </c>
      <c r="J104" t="s">
        <v>31</v>
      </c>
      <c r="K104" t="s">
        <v>44</v>
      </c>
      <c r="L104">
        <f t="shared" si="12"/>
        <v>53</v>
      </c>
      <c r="M104" t="s">
        <v>393</v>
      </c>
      <c r="N104" t="str">
        <f t="shared" si="13"/>
        <v>Other</v>
      </c>
      <c r="O104" t="s">
        <v>34</v>
      </c>
      <c r="P104" t="str">
        <f t="shared" si="14"/>
        <v>Python</v>
      </c>
      <c r="Q104">
        <v>8</v>
      </c>
      <c r="R104">
        <v>8</v>
      </c>
      <c r="S104">
        <v>9</v>
      </c>
      <c r="T104">
        <v>9</v>
      </c>
      <c r="U104">
        <v>10</v>
      </c>
      <c r="V104">
        <v>10</v>
      </c>
      <c r="W104" t="s">
        <v>64</v>
      </c>
      <c r="X104" t="s">
        <v>70</v>
      </c>
      <c r="Y104" t="s">
        <v>37</v>
      </c>
      <c r="Z104">
        <v>34</v>
      </c>
      <c r="AA104" t="s">
        <v>109</v>
      </c>
      <c r="AB104" t="str">
        <f t="shared" si="15"/>
        <v>United Kingdom</v>
      </c>
      <c r="AC104" t="s">
        <v>237</v>
      </c>
      <c r="AD104" t="str">
        <f t="shared" si="16"/>
        <v>Bachelors</v>
      </c>
      <c r="AE104" t="s">
        <v>39</v>
      </c>
      <c r="AF104" t="str">
        <f t="shared" si="17"/>
        <v>White or Caucasian</v>
      </c>
    </row>
    <row r="105" spans="1:32" x14ac:dyDescent="0.45">
      <c r="A105" t="s">
        <v>401</v>
      </c>
      <c r="B105" t="s">
        <v>25</v>
      </c>
      <c r="C105" s="3" t="s">
        <v>26</v>
      </c>
      <c r="D105" s="3">
        <f t="shared" si="9"/>
        <v>44840</v>
      </c>
      <c r="E105" t="s">
        <v>399</v>
      </c>
      <c r="F105" s="4">
        <f t="shared" si="10"/>
        <v>0.40138888888888891</v>
      </c>
      <c r="G105" t="s">
        <v>402</v>
      </c>
      <c r="H105" t="s">
        <v>30</v>
      </c>
      <c r="I105" t="str">
        <f t="shared" si="11"/>
        <v>Data Analyst</v>
      </c>
      <c r="J105" t="s">
        <v>31</v>
      </c>
      <c r="K105" t="s">
        <v>53</v>
      </c>
      <c r="L105">
        <f t="shared" si="12"/>
        <v>20</v>
      </c>
      <c r="M105" t="s">
        <v>103</v>
      </c>
      <c r="N105" t="str">
        <f t="shared" si="13"/>
        <v>Tech</v>
      </c>
      <c r="O105" t="s">
        <v>34</v>
      </c>
      <c r="P105" t="str">
        <f t="shared" si="14"/>
        <v>Python</v>
      </c>
      <c r="Q105">
        <v>8</v>
      </c>
      <c r="R105">
        <v>10</v>
      </c>
      <c r="S105">
        <v>9</v>
      </c>
      <c r="T105">
        <v>9</v>
      </c>
      <c r="U105">
        <v>10</v>
      </c>
      <c r="V105">
        <v>8</v>
      </c>
      <c r="W105" t="s">
        <v>85</v>
      </c>
      <c r="X105" t="s">
        <v>70</v>
      </c>
      <c r="Y105" t="s">
        <v>65</v>
      </c>
      <c r="Z105">
        <v>28</v>
      </c>
      <c r="AA105" t="s">
        <v>403</v>
      </c>
      <c r="AB105" t="str">
        <f t="shared" si="15"/>
        <v>Other</v>
      </c>
      <c r="AC105" t="s">
        <v>237</v>
      </c>
      <c r="AD105" t="str">
        <f t="shared" si="16"/>
        <v>Bachelors</v>
      </c>
      <c r="AE105" t="s">
        <v>91</v>
      </c>
      <c r="AF105" t="str">
        <f t="shared" si="17"/>
        <v>Hispanic or Latino</v>
      </c>
    </row>
    <row r="106" spans="1:32" x14ac:dyDescent="0.45">
      <c r="A106" t="s">
        <v>404</v>
      </c>
      <c r="B106" t="s">
        <v>25</v>
      </c>
      <c r="C106" s="3" t="s">
        <v>26</v>
      </c>
      <c r="D106" s="3">
        <f t="shared" si="9"/>
        <v>44840</v>
      </c>
      <c r="E106" t="s">
        <v>405</v>
      </c>
      <c r="F106" s="4">
        <f t="shared" si="10"/>
        <v>0.40208333333333335</v>
      </c>
      <c r="G106" t="s">
        <v>406</v>
      </c>
      <c r="H106" t="s">
        <v>123</v>
      </c>
      <c r="I106" t="str">
        <f t="shared" si="11"/>
        <v>None</v>
      </c>
      <c r="J106" t="s">
        <v>43</v>
      </c>
      <c r="K106" t="s">
        <v>53</v>
      </c>
      <c r="L106">
        <f t="shared" si="12"/>
        <v>20</v>
      </c>
      <c r="M106" t="s">
        <v>407</v>
      </c>
      <c r="N106" t="str">
        <f t="shared" si="13"/>
        <v>Other</v>
      </c>
      <c r="O106" t="s">
        <v>376</v>
      </c>
      <c r="P106" t="str">
        <f t="shared" si="14"/>
        <v>Other</v>
      </c>
      <c r="Q106">
        <v>7</v>
      </c>
      <c r="R106">
        <v>9</v>
      </c>
      <c r="S106">
        <v>7</v>
      </c>
      <c r="T106">
        <v>8</v>
      </c>
      <c r="U106">
        <v>8</v>
      </c>
      <c r="V106">
        <v>10</v>
      </c>
      <c r="W106" t="s">
        <v>85</v>
      </c>
      <c r="X106" t="s">
        <v>70</v>
      </c>
      <c r="Y106" t="s">
        <v>37</v>
      </c>
      <c r="Z106">
        <v>24</v>
      </c>
      <c r="AA106" t="s">
        <v>408</v>
      </c>
      <c r="AB106" t="str">
        <f t="shared" si="15"/>
        <v>Other</v>
      </c>
      <c r="AC106" t="s">
        <v>237</v>
      </c>
      <c r="AD106" t="str">
        <f t="shared" si="16"/>
        <v>Bachelors</v>
      </c>
      <c r="AE106" t="s">
        <v>48</v>
      </c>
      <c r="AF106" t="str">
        <f t="shared" si="17"/>
        <v>Asian or Asian American</v>
      </c>
    </row>
    <row r="107" spans="1:32" x14ac:dyDescent="0.45">
      <c r="A107" t="s">
        <v>409</v>
      </c>
      <c r="B107" t="s">
        <v>25</v>
      </c>
      <c r="C107" s="3" t="s">
        <v>26</v>
      </c>
      <c r="D107" s="3">
        <f t="shared" si="9"/>
        <v>44840</v>
      </c>
      <c r="E107" t="s">
        <v>405</v>
      </c>
      <c r="F107" s="4">
        <f t="shared" si="10"/>
        <v>0.40208333333333335</v>
      </c>
      <c r="G107" t="s">
        <v>76</v>
      </c>
      <c r="H107" t="s">
        <v>123</v>
      </c>
      <c r="I107" t="str">
        <f t="shared" si="11"/>
        <v>None</v>
      </c>
      <c r="J107" t="s">
        <v>31</v>
      </c>
      <c r="K107" t="s">
        <v>53</v>
      </c>
      <c r="L107">
        <f t="shared" si="12"/>
        <v>20</v>
      </c>
      <c r="M107" t="s">
        <v>33</v>
      </c>
      <c r="N107" t="str">
        <f t="shared" si="13"/>
        <v>Healthcare</v>
      </c>
      <c r="O107" t="s">
        <v>34</v>
      </c>
      <c r="P107" t="str">
        <f t="shared" si="14"/>
        <v>Python</v>
      </c>
      <c r="Q107">
        <v>3</v>
      </c>
      <c r="R107">
        <v>7</v>
      </c>
      <c r="S107">
        <v>7</v>
      </c>
      <c r="T107">
        <v>7</v>
      </c>
      <c r="U107">
        <v>1</v>
      </c>
      <c r="V107">
        <v>2</v>
      </c>
      <c r="W107" t="s">
        <v>69</v>
      </c>
      <c r="X107" t="s">
        <v>70</v>
      </c>
      <c r="Y107" t="s">
        <v>37</v>
      </c>
      <c r="Z107">
        <v>31</v>
      </c>
      <c r="AA107" t="s">
        <v>38</v>
      </c>
      <c r="AB107" t="str">
        <f t="shared" si="15"/>
        <v>United States</v>
      </c>
      <c r="AC107" t="s">
        <v>240</v>
      </c>
      <c r="AD107" t="str">
        <f t="shared" si="16"/>
        <v>Masters</v>
      </c>
      <c r="AE107" t="s">
        <v>58</v>
      </c>
      <c r="AF107" t="str">
        <f t="shared" si="17"/>
        <v>Black or African American</v>
      </c>
    </row>
    <row r="108" spans="1:32" x14ac:dyDescent="0.45">
      <c r="A108" t="s">
        <v>410</v>
      </c>
      <c r="B108" t="s">
        <v>25</v>
      </c>
      <c r="C108" s="3" t="s">
        <v>26</v>
      </c>
      <c r="D108" s="3">
        <f t="shared" si="9"/>
        <v>44840</v>
      </c>
      <c r="E108" t="s">
        <v>411</v>
      </c>
      <c r="F108" s="4">
        <f t="shared" si="10"/>
        <v>0.40277777777777779</v>
      </c>
      <c r="G108" t="s">
        <v>150</v>
      </c>
      <c r="H108" t="s">
        <v>30</v>
      </c>
      <c r="I108" t="str">
        <f t="shared" si="11"/>
        <v>Data Analyst</v>
      </c>
      <c r="J108" t="s">
        <v>31</v>
      </c>
      <c r="K108" t="s">
        <v>44</v>
      </c>
      <c r="L108">
        <f t="shared" si="12"/>
        <v>53</v>
      </c>
      <c r="M108" t="s">
        <v>412</v>
      </c>
      <c r="N108" t="str">
        <f t="shared" si="13"/>
        <v>Other</v>
      </c>
      <c r="O108" t="s">
        <v>413</v>
      </c>
      <c r="P108" t="str">
        <f t="shared" si="14"/>
        <v>Other</v>
      </c>
      <c r="Q108">
        <v>3</v>
      </c>
      <c r="R108">
        <v>6</v>
      </c>
      <c r="S108">
        <v>6</v>
      </c>
      <c r="T108">
        <v>6</v>
      </c>
      <c r="U108">
        <v>4</v>
      </c>
      <c r="V108">
        <v>4</v>
      </c>
      <c r="W108" t="s">
        <v>55</v>
      </c>
      <c r="X108" t="s">
        <v>70</v>
      </c>
      <c r="Y108" t="s">
        <v>37</v>
      </c>
      <c r="Z108">
        <v>25</v>
      </c>
      <c r="AA108" t="s">
        <v>47</v>
      </c>
      <c r="AB108" t="str">
        <f t="shared" si="15"/>
        <v>Canada</v>
      </c>
      <c r="AC108" t="s">
        <v>237</v>
      </c>
      <c r="AD108" t="str">
        <f t="shared" si="16"/>
        <v>Bachelors</v>
      </c>
      <c r="AE108" t="s">
        <v>48</v>
      </c>
      <c r="AF108" t="str">
        <f t="shared" si="17"/>
        <v>Asian or Asian American</v>
      </c>
    </row>
    <row r="109" spans="1:32" x14ac:dyDescent="0.45">
      <c r="A109" t="s">
        <v>414</v>
      </c>
      <c r="B109" t="s">
        <v>25</v>
      </c>
      <c r="C109" s="3" t="s">
        <v>26</v>
      </c>
      <c r="D109" s="3">
        <f t="shared" si="9"/>
        <v>44840</v>
      </c>
      <c r="E109" t="s">
        <v>411</v>
      </c>
      <c r="F109" s="4">
        <f t="shared" si="10"/>
        <v>0.40277777777777779</v>
      </c>
      <c r="G109" t="s">
        <v>126</v>
      </c>
      <c r="H109" t="s">
        <v>30</v>
      </c>
      <c r="I109" t="str">
        <f t="shared" si="11"/>
        <v>Data Analyst</v>
      </c>
      <c r="J109" t="s">
        <v>31</v>
      </c>
      <c r="K109" t="s">
        <v>32</v>
      </c>
      <c r="L109">
        <f t="shared" si="12"/>
        <v>115.5</v>
      </c>
      <c r="M109" t="s">
        <v>45</v>
      </c>
      <c r="N109" t="str">
        <f t="shared" si="13"/>
        <v>Finance</v>
      </c>
      <c r="O109" t="s">
        <v>34</v>
      </c>
      <c r="P109" t="str">
        <f t="shared" si="14"/>
        <v>Python</v>
      </c>
      <c r="Q109">
        <v>5</v>
      </c>
      <c r="R109">
        <v>1</v>
      </c>
      <c r="S109">
        <v>4</v>
      </c>
      <c r="T109">
        <v>3</v>
      </c>
      <c r="U109">
        <v>3</v>
      </c>
      <c r="V109">
        <v>4</v>
      </c>
      <c r="W109" t="s">
        <v>55</v>
      </c>
      <c r="X109" t="s">
        <v>70</v>
      </c>
      <c r="Y109" t="s">
        <v>65</v>
      </c>
      <c r="Z109">
        <v>38</v>
      </c>
      <c r="AA109" t="s">
        <v>38</v>
      </c>
      <c r="AB109" t="str">
        <f t="shared" si="15"/>
        <v>United States</v>
      </c>
      <c r="AC109" t="s">
        <v>237</v>
      </c>
      <c r="AD109" t="str">
        <f t="shared" si="16"/>
        <v>Bachelors</v>
      </c>
      <c r="AE109" t="s">
        <v>39</v>
      </c>
      <c r="AF109" t="str">
        <f t="shared" si="17"/>
        <v>White or Caucasian</v>
      </c>
    </row>
    <row r="110" spans="1:32" x14ac:dyDescent="0.45">
      <c r="A110" t="s">
        <v>415</v>
      </c>
      <c r="B110" t="s">
        <v>25</v>
      </c>
      <c r="C110" s="3" t="s">
        <v>26</v>
      </c>
      <c r="D110" s="3">
        <f t="shared" si="9"/>
        <v>44840</v>
      </c>
      <c r="E110" t="s">
        <v>411</v>
      </c>
      <c r="F110" s="4">
        <f t="shared" si="10"/>
        <v>0.40277777777777779</v>
      </c>
      <c r="G110" t="s">
        <v>317</v>
      </c>
      <c r="H110" t="s">
        <v>30</v>
      </c>
      <c r="I110" t="str">
        <f t="shared" si="11"/>
        <v>Data Analyst</v>
      </c>
      <c r="J110" t="s">
        <v>43</v>
      </c>
      <c r="K110" t="s">
        <v>44</v>
      </c>
      <c r="L110">
        <f t="shared" si="12"/>
        <v>53</v>
      </c>
      <c r="M110" t="s">
        <v>45</v>
      </c>
      <c r="N110" t="str">
        <f t="shared" si="13"/>
        <v>Finance</v>
      </c>
      <c r="O110" t="s">
        <v>34</v>
      </c>
      <c r="P110" t="str">
        <f t="shared" si="14"/>
        <v>Python</v>
      </c>
      <c r="Q110">
        <v>5</v>
      </c>
      <c r="R110">
        <v>5</v>
      </c>
      <c r="S110">
        <v>5</v>
      </c>
      <c r="T110">
        <v>5</v>
      </c>
      <c r="U110">
        <v>4</v>
      </c>
      <c r="V110">
        <v>5</v>
      </c>
      <c r="W110" t="s">
        <v>85</v>
      </c>
      <c r="X110" t="s">
        <v>114</v>
      </c>
      <c r="Y110" t="s">
        <v>37</v>
      </c>
      <c r="Z110">
        <v>30</v>
      </c>
      <c r="AA110" t="s">
        <v>319</v>
      </c>
      <c r="AB110" t="str">
        <f t="shared" si="15"/>
        <v>Other</v>
      </c>
      <c r="AC110" t="s">
        <v>237</v>
      </c>
      <c r="AD110" t="str">
        <f t="shared" si="16"/>
        <v>Bachelors</v>
      </c>
      <c r="AE110" t="s">
        <v>91</v>
      </c>
      <c r="AF110" t="str">
        <f t="shared" si="17"/>
        <v>Hispanic or Latino</v>
      </c>
    </row>
    <row r="111" spans="1:32" x14ac:dyDescent="0.45">
      <c r="A111" t="s">
        <v>416</v>
      </c>
      <c r="B111" t="s">
        <v>25</v>
      </c>
      <c r="C111" s="3" t="s">
        <v>26</v>
      </c>
      <c r="D111" s="3">
        <f t="shared" si="9"/>
        <v>44840</v>
      </c>
      <c r="E111" t="s">
        <v>411</v>
      </c>
      <c r="F111" s="4">
        <f t="shared" si="10"/>
        <v>0.40277777777777779</v>
      </c>
      <c r="G111" t="s">
        <v>317</v>
      </c>
      <c r="H111" t="s">
        <v>30</v>
      </c>
      <c r="I111" t="str">
        <f t="shared" si="11"/>
        <v>Data Analyst</v>
      </c>
      <c r="J111" t="s">
        <v>31</v>
      </c>
      <c r="K111" t="s">
        <v>53</v>
      </c>
      <c r="L111">
        <f t="shared" si="12"/>
        <v>20</v>
      </c>
      <c r="M111" t="s">
        <v>103</v>
      </c>
      <c r="N111" t="str">
        <f t="shared" si="13"/>
        <v>Tech</v>
      </c>
      <c r="O111" t="s">
        <v>257</v>
      </c>
      <c r="P111" t="str">
        <f t="shared" si="14"/>
        <v>C/C++</v>
      </c>
      <c r="Q111">
        <v>0</v>
      </c>
      <c r="R111">
        <v>0</v>
      </c>
      <c r="S111">
        <v>0</v>
      </c>
      <c r="T111">
        <v>2</v>
      </c>
      <c r="U111">
        <v>2</v>
      </c>
      <c r="V111">
        <v>5</v>
      </c>
      <c r="W111" t="s">
        <v>85</v>
      </c>
      <c r="X111" t="s">
        <v>56</v>
      </c>
      <c r="Y111" t="s">
        <v>37</v>
      </c>
      <c r="Z111">
        <v>25</v>
      </c>
      <c r="AA111" t="s">
        <v>147</v>
      </c>
      <c r="AB111" t="str">
        <f t="shared" si="15"/>
        <v>India</v>
      </c>
      <c r="AC111" t="s">
        <v>237</v>
      </c>
      <c r="AD111" t="str">
        <f t="shared" si="16"/>
        <v>Bachelors</v>
      </c>
      <c r="AE111" t="s">
        <v>48</v>
      </c>
      <c r="AF111" t="str">
        <f t="shared" si="17"/>
        <v>Asian or Asian American</v>
      </c>
    </row>
    <row r="112" spans="1:32" x14ac:dyDescent="0.45">
      <c r="A112" t="s">
        <v>417</v>
      </c>
      <c r="B112" t="s">
        <v>25</v>
      </c>
      <c r="C112" s="3" t="s">
        <v>26</v>
      </c>
      <c r="D112" s="3">
        <f t="shared" si="9"/>
        <v>44840</v>
      </c>
      <c r="E112" t="s">
        <v>418</v>
      </c>
      <c r="F112" s="4">
        <f t="shared" si="10"/>
        <v>0.40347222222222223</v>
      </c>
      <c r="G112" t="s">
        <v>331</v>
      </c>
      <c r="H112" t="s">
        <v>30</v>
      </c>
      <c r="I112" t="str">
        <f t="shared" si="11"/>
        <v>Data Analyst</v>
      </c>
      <c r="J112" t="s">
        <v>31</v>
      </c>
      <c r="K112" t="s">
        <v>53</v>
      </c>
      <c r="L112">
        <f t="shared" si="12"/>
        <v>20</v>
      </c>
      <c r="M112" t="s">
        <v>103</v>
      </c>
      <c r="N112" t="str">
        <f t="shared" si="13"/>
        <v>Tech</v>
      </c>
      <c r="O112" t="s">
        <v>34</v>
      </c>
      <c r="P112" t="str">
        <f t="shared" si="14"/>
        <v>Python</v>
      </c>
      <c r="Q112">
        <v>1</v>
      </c>
      <c r="R112">
        <v>2</v>
      </c>
      <c r="S112">
        <v>1</v>
      </c>
      <c r="T112">
        <v>5</v>
      </c>
      <c r="U112">
        <v>6</v>
      </c>
      <c r="V112">
        <v>6</v>
      </c>
      <c r="W112" t="s">
        <v>85</v>
      </c>
      <c r="X112" t="s">
        <v>70</v>
      </c>
      <c r="Y112" t="s">
        <v>65</v>
      </c>
      <c r="Z112">
        <v>29</v>
      </c>
      <c r="AA112" t="s">
        <v>419</v>
      </c>
      <c r="AB112" t="str">
        <f t="shared" si="15"/>
        <v>Other</v>
      </c>
      <c r="AC112" t="s">
        <v>237</v>
      </c>
      <c r="AD112" t="str">
        <f t="shared" si="16"/>
        <v>Bachelors</v>
      </c>
      <c r="AE112" t="s">
        <v>58</v>
      </c>
      <c r="AF112" t="str">
        <f t="shared" si="17"/>
        <v>Black or African American</v>
      </c>
    </row>
    <row r="113" spans="1:32" x14ac:dyDescent="0.45">
      <c r="A113" t="s">
        <v>420</v>
      </c>
      <c r="B113" t="s">
        <v>25</v>
      </c>
      <c r="C113" s="3" t="s">
        <v>26</v>
      </c>
      <c r="D113" s="3">
        <f t="shared" si="9"/>
        <v>44840</v>
      </c>
      <c r="E113" t="s">
        <v>421</v>
      </c>
      <c r="F113" s="4">
        <f t="shared" si="10"/>
        <v>0.40555555555555556</v>
      </c>
      <c r="G113" t="s">
        <v>422</v>
      </c>
      <c r="H113" t="s">
        <v>77</v>
      </c>
      <c r="I113" t="str">
        <f t="shared" si="11"/>
        <v>Data Scientist</v>
      </c>
      <c r="J113" t="s">
        <v>31</v>
      </c>
      <c r="K113" t="s">
        <v>63</v>
      </c>
      <c r="L113">
        <f t="shared" si="12"/>
        <v>187.5</v>
      </c>
      <c r="M113" t="s">
        <v>45</v>
      </c>
      <c r="N113" t="str">
        <f t="shared" si="13"/>
        <v>Finance</v>
      </c>
      <c r="O113" t="s">
        <v>34</v>
      </c>
      <c r="P113" t="str">
        <f t="shared" si="14"/>
        <v>Python</v>
      </c>
      <c r="Q113">
        <v>7</v>
      </c>
      <c r="R113">
        <v>5</v>
      </c>
      <c r="S113">
        <v>3</v>
      </c>
      <c r="T113">
        <v>6</v>
      </c>
      <c r="U113">
        <v>4</v>
      </c>
      <c r="V113">
        <v>4</v>
      </c>
      <c r="W113" t="s">
        <v>69</v>
      </c>
      <c r="X113" t="s">
        <v>56</v>
      </c>
      <c r="Y113" t="s">
        <v>37</v>
      </c>
      <c r="Z113">
        <v>21</v>
      </c>
      <c r="AA113" t="s">
        <v>423</v>
      </c>
      <c r="AB113" t="str">
        <f t="shared" si="15"/>
        <v>Other</v>
      </c>
      <c r="AC113" t="s">
        <v>240</v>
      </c>
      <c r="AD113" t="str">
        <f t="shared" si="16"/>
        <v>Masters</v>
      </c>
      <c r="AE113" t="s">
        <v>39</v>
      </c>
      <c r="AF113" t="str">
        <f t="shared" si="17"/>
        <v>White or Caucasian</v>
      </c>
    </row>
    <row r="114" spans="1:32" x14ac:dyDescent="0.45">
      <c r="A114" t="s">
        <v>424</v>
      </c>
      <c r="B114" t="s">
        <v>25</v>
      </c>
      <c r="C114" s="3" t="s">
        <v>26</v>
      </c>
      <c r="D114" s="3">
        <f t="shared" si="9"/>
        <v>44840</v>
      </c>
      <c r="E114" t="s">
        <v>421</v>
      </c>
      <c r="F114" s="4">
        <f t="shared" si="10"/>
        <v>0.40555555555555556</v>
      </c>
      <c r="G114" t="s">
        <v>425</v>
      </c>
      <c r="H114" t="s">
        <v>30</v>
      </c>
      <c r="I114" t="str">
        <f t="shared" si="11"/>
        <v>Data Analyst</v>
      </c>
      <c r="J114" t="s">
        <v>31</v>
      </c>
      <c r="K114" t="s">
        <v>94</v>
      </c>
      <c r="L114">
        <f t="shared" si="12"/>
        <v>75.5</v>
      </c>
      <c r="M114" t="s">
        <v>426</v>
      </c>
      <c r="N114" t="str">
        <f t="shared" si="13"/>
        <v>Other</v>
      </c>
      <c r="O114" t="s">
        <v>84</v>
      </c>
      <c r="P114" t="str">
        <f t="shared" si="14"/>
        <v>Other</v>
      </c>
      <c r="Q114">
        <v>5</v>
      </c>
      <c r="R114">
        <v>8</v>
      </c>
      <c r="S114">
        <v>8</v>
      </c>
      <c r="T114">
        <v>7</v>
      </c>
      <c r="U114">
        <v>6</v>
      </c>
      <c r="V114">
        <v>7</v>
      </c>
      <c r="W114" t="s">
        <v>64</v>
      </c>
      <c r="X114" t="s">
        <v>36</v>
      </c>
      <c r="Y114" t="s">
        <v>65</v>
      </c>
      <c r="Z114">
        <v>39</v>
      </c>
      <c r="AA114" t="s">
        <v>38</v>
      </c>
      <c r="AB114" t="str">
        <f t="shared" si="15"/>
        <v>United States</v>
      </c>
      <c r="AC114" t="s">
        <v>237</v>
      </c>
      <c r="AD114" t="str">
        <f t="shared" si="16"/>
        <v>Bachelors</v>
      </c>
      <c r="AE114" t="s">
        <v>48</v>
      </c>
      <c r="AF114" t="str">
        <f t="shared" si="17"/>
        <v>Asian or Asian American</v>
      </c>
    </row>
    <row r="115" spans="1:32" x14ac:dyDescent="0.45">
      <c r="A115" t="s">
        <v>427</v>
      </c>
      <c r="B115" t="s">
        <v>25</v>
      </c>
      <c r="C115" s="3" t="s">
        <v>26</v>
      </c>
      <c r="D115" s="3">
        <f t="shared" si="9"/>
        <v>44840</v>
      </c>
      <c r="E115" t="s">
        <v>428</v>
      </c>
      <c r="F115" s="4">
        <f t="shared" si="10"/>
        <v>0.40625</v>
      </c>
      <c r="G115" t="s">
        <v>322</v>
      </c>
      <c r="H115" t="s">
        <v>123</v>
      </c>
      <c r="I115" t="str">
        <f t="shared" si="11"/>
        <v>None</v>
      </c>
      <c r="J115" t="s">
        <v>43</v>
      </c>
      <c r="K115" t="s">
        <v>53</v>
      </c>
      <c r="L115">
        <f t="shared" si="12"/>
        <v>20</v>
      </c>
      <c r="M115" t="s">
        <v>78</v>
      </c>
      <c r="N115" t="str">
        <f t="shared" si="13"/>
        <v>Other</v>
      </c>
      <c r="O115" t="s">
        <v>34</v>
      </c>
      <c r="P115" t="str">
        <f t="shared" si="14"/>
        <v>Python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 t="s">
        <v>85</v>
      </c>
      <c r="X115" t="s">
        <v>70</v>
      </c>
      <c r="Y115" t="s">
        <v>37</v>
      </c>
      <c r="Z115">
        <v>25</v>
      </c>
      <c r="AA115" t="s">
        <v>429</v>
      </c>
      <c r="AB115" t="str">
        <f t="shared" si="15"/>
        <v>Other</v>
      </c>
      <c r="AC115" t="s">
        <v>237</v>
      </c>
      <c r="AD115" t="str">
        <f t="shared" si="16"/>
        <v>Bachelors</v>
      </c>
      <c r="AE115" t="s">
        <v>39</v>
      </c>
      <c r="AF115" t="str">
        <f t="shared" si="17"/>
        <v>White or Caucasian</v>
      </c>
    </row>
    <row r="116" spans="1:32" x14ac:dyDescent="0.45">
      <c r="A116" t="s">
        <v>430</v>
      </c>
      <c r="B116" t="s">
        <v>25</v>
      </c>
      <c r="C116" s="3" t="s">
        <v>26</v>
      </c>
      <c r="D116" s="3">
        <f t="shared" si="9"/>
        <v>44840</v>
      </c>
      <c r="E116" t="s">
        <v>428</v>
      </c>
      <c r="F116" s="4">
        <f t="shared" si="10"/>
        <v>0.40625</v>
      </c>
      <c r="G116" t="s">
        <v>299</v>
      </c>
      <c r="H116" t="s">
        <v>431</v>
      </c>
      <c r="I116" t="str">
        <f t="shared" si="11"/>
        <v>Other</v>
      </c>
      <c r="J116" t="s">
        <v>31</v>
      </c>
      <c r="K116" t="s">
        <v>87</v>
      </c>
      <c r="L116">
        <f t="shared" si="12"/>
        <v>95.5</v>
      </c>
      <c r="M116" t="s">
        <v>45</v>
      </c>
      <c r="N116" t="str">
        <f t="shared" si="13"/>
        <v>Finance</v>
      </c>
      <c r="O116" t="s">
        <v>432</v>
      </c>
      <c r="P116" t="str">
        <f t="shared" si="14"/>
        <v>Other</v>
      </c>
      <c r="Q116">
        <v>7</v>
      </c>
      <c r="R116">
        <v>9</v>
      </c>
      <c r="S116">
        <v>10</v>
      </c>
      <c r="T116">
        <v>6</v>
      </c>
      <c r="U116">
        <v>4</v>
      </c>
      <c r="V116">
        <v>4</v>
      </c>
      <c r="W116" t="s">
        <v>85</v>
      </c>
      <c r="X116" t="s">
        <v>433</v>
      </c>
      <c r="Y116" t="s">
        <v>65</v>
      </c>
      <c r="Z116">
        <v>42</v>
      </c>
      <c r="AA116" t="s">
        <v>38</v>
      </c>
      <c r="AB116" t="str">
        <f t="shared" si="15"/>
        <v>United States</v>
      </c>
      <c r="AC116" t="s">
        <v>240</v>
      </c>
      <c r="AD116" t="str">
        <f t="shared" si="16"/>
        <v>Masters</v>
      </c>
      <c r="AE116" t="s">
        <v>91</v>
      </c>
      <c r="AF116" t="str">
        <f t="shared" si="17"/>
        <v>Hispanic or Latino</v>
      </c>
    </row>
    <row r="117" spans="1:32" x14ac:dyDescent="0.45">
      <c r="A117" t="s">
        <v>434</v>
      </c>
      <c r="B117" t="s">
        <v>25</v>
      </c>
      <c r="C117" s="3" t="s">
        <v>26</v>
      </c>
      <c r="D117" s="3">
        <f t="shared" si="9"/>
        <v>44840</v>
      </c>
      <c r="E117" t="s">
        <v>435</v>
      </c>
      <c r="F117" s="4">
        <f t="shared" si="10"/>
        <v>0.40694444444444444</v>
      </c>
      <c r="G117" t="s">
        <v>436</v>
      </c>
      <c r="H117" t="s">
        <v>30</v>
      </c>
      <c r="I117" t="str">
        <f t="shared" si="11"/>
        <v>Data Analyst</v>
      </c>
      <c r="J117" t="s">
        <v>43</v>
      </c>
      <c r="K117" t="s">
        <v>44</v>
      </c>
      <c r="L117">
        <f t="shared" si="12"/>
        <v>53</v>
      </c>
      <c r="M117" t="s">
        <v>103</v>
      </c>
      <c r="N117" t="str">
        <f t="shared" si="13"/>
        <v>Tech</v>
      </c>
      <c r="O117" t="s">
        <v>46</v>
      </c>
      <c r="P117" t="str">
        <f t="shared" si="14"/>
        <v>R</v>
      </c>
      <c r="Q117">
        <v>10</v>
      </c>
      <c r="R117">
        <v>8</v>
      </c>
      <c r="S117">
        <v>9</v>
      </c>
      <c r="T117">
        <v>10</v>
      </c>
      <c r="U117">
        <v>10</v>
      </c>
      <c r="V117">
        <v>10</v>
      </c>
      <c r="W117" t="s">
        <v>55</v>
      </c>
      <c r="X117" t="s">
        <v>70</v>
      </c>
      <c r="Y117" t="s">
        <v>37</v>
      </c>
      <c r="Z117">
        <v>25</v>
      </c>
      <c r="AA117" t="s">
        <v>38</v>
      </c>
      <c r="AB117" t="str">
        <f t="shared" si="15"/>
        <v>United States</v>
      </c>
      <c r="AC117" t="s">
        <v>237</v>
      </c>
      <c r="AD117" t="str">
        <f t="shared" si="16"/>
        <v>Bachelors</v>
      </c>
      <c r="AE117" t="s">
        <v>39</v>
      </c>
      <c r="AF117" t="str">
        <f t="shared" si="17"/>
        <v>White or Caucasian</v>
      </c>
    </row>
    <row r="118" spans="1:32" x14ac:dyDescent="0.45">
      <c r="A118" t="s">
        <v>437</v>
      </c>
      <c r="B118" t="s">
        <v>25</v>
      </c>
      <c r="C118" s="3" t="s">
        <v>26</v>
      </c>
      <c r="D118" s="3">
        <f t="shared" si="9"/>
        <v>44840</v>
      </c>
      <c r="E118" t="s">
        <v>438</v>
      </c>
      <c r="F118" s="4">
        <f t="shared" si="10"/>
        <v>0.40763888888888888</v>
      </c>
      <c r="G118" t="s">
        <v>154</v>
      </c>
      <c r="H118" t="s">
        <v>77</v>
      </c>
      <c r="I118" t="str">
        <f t="shared" si="11"/>
        <v>Data Scientist</v>
      </c>
      <c r="J118" t="s">
        <v>43</v>
      </c>
      <c r="K118" t="s">
        <v>87</v>
      </c>
      <c r="L118">
        <f t="shared" si="12"/>
        <v>95.5</v>
      </c>
      <c r="M118" t="s">
        <v>45</v>
      </c>
      <c r="N118" t="str">
        <f t="shared" si="13"/>
        <v>Finance</v>
      </c>
      <c r="O118" t="s">
        <v>34</v>
      </c>
      <c r="P118" t="str">
        <f t="shared" si="14"/>
        <v>Python</v>
      </c>
      <c r="Q118">
        <v>8</v>
      </c>
      <c r="R118">
        <v>7</v>
      </c>
      <c r="S118">
        <v>6</v>
      </c>
      <c r="T118">
        <v>6</v>
      </c>
      <c r="U118">
        <v>5</v>
      </c>
      <c r="V118">
        <v>9</v>
      </c>
      <c r="W118" t="s">
        <v>85</v>
      </c>
      <c r="X118" t="s">
        <v>70</v>
      </c>
      <c r="Y118" t="s">
        <v>37</v>
      </c>
      <c r="Z118">
        <v>22</v>
      </c>
      <c r="AA118" t="s">
        <v>38</v>
      </c>
      <c r="AB118" t="str">
        <f t="shared" si="15"/>
        <v>United States</v>
      </c>
      <c r="AC118" t="s">
        <v>237</v>
      </c>
      <c r="AD118" t="str">
        <f t="shared" si="16"/>
        <v>Bachelors</v>
      </c>
      <c r="AE118" t="s">
        <v>39</v>
      </c>
      <c r="AF118" t="str">
        <f t="shared" si="17"/>
        <v>White or Caucasian</v>
      </c>
    </row>
    <row r="119" spans="1:32" x14ac:dyDescent="0.45">
      <c r="A119" t="s">
        <v>439</v>
      </c>
      <c r="B119" t="s">
        <v>25</v>
      </c>
      <c r="C119" s="3" t="s">
        <v>26</v>
      </c>
      <c r="D119" s="3">
        <f t="shared" si="9"/>
        <v>44840</v>
      </c>
      <c r="E119" t="s">
        <v>438</v>
      </c>
      <c r="F119" s="4">
        <f t="shared" si="10"/>
        <v>0.40763888888888888</v>
      </c>
      <c r="G119" t="s">
        <v>265</v>
      </c>
      <c r="H119" t="s">
        <v>30</v>
      </c>
      <c r="I119" t="str">
        <f t="shared" si="11"/>
        <v>Data Analyst</v>
      </c>
      <c r="J119" t="s">
        <v>43</v>
      </c>
      <c r="K119" t="s">
        <v>53</v>
      </c>
      <c r="L119">
        <f t="shared" si="12"/>
        <v>20</v>
      </c>
      <c r="M119" t="s">
        <v>440</v>
      </c>
      <c r="N119" t="str">
        <f t="shared" si="13"/>
        <v>Other</v>
      </c>
      <c r="O119" t="s">
        <v>34</v>
      </c>
      <c r="P119" t="str">
        <f t="shared" si="14"/>
        <v>Python</v>
      </c>
      <c r="Q119">
        <v>1</v>
      </c>
      <c r="R119">
        <v>4</v>
      </c>
      <c r="S119">
        <v>4</v>
      </c>
      <c r="T119">
        <v>3</v>
      </c>
      <c r="U119" t="s">
        <v>28</v>
      </c>
      <c r="V119">
        <v>5</v>
      </c>
      <c r="W119" t="s">
        <v>55</v>
      </c>
      <c r="X119" t="s">
        <v>70</v>
      </c>
      <c r="Y119" t="s">
        <v>37</v>
      </c>
      <c r="Z119">
        <v>23</v>
      </c>
      <c r="AA119" t="s">
        <v>261</v>
      </c>
      <c r="AB119" t="str">
        <f t="shared" si="15"/>
        <v>Other</v>
      </c>
      <c r="AC119" t="s">
        <v>227</v>
      </c>
      <c r="AD119" t="str">
        <f t="shared" si="16"/>
        <v>High School</v>
      </c>
      <c r="AE119" t="s">
        <v>91</v>
      </c>
      <c r="AF119" t="str">
        <f t="shared" si="17"/>
        <v>Hispanic or Latino</v>
      </c>
    </row>
    <row r="120" spans="1:32" x14ac:dyDescent="0.45">
      <c r="A120" t="s">
        <v>441</v>
      </c>
      <c r="B120" t="s">
        <v>25</v>
      </c>
      <c r="C120" s="3" t="s">
        <v>26</v>
      </c>
      <c r="D120" s="3">
        <f t="shared" si="9"/>
        <v>44840</v>
      </c>
      <c r="E120" t="s">
        <v>442</v>
      </c>
      <c r="F120" s="4">
        <f t="shared" si="10"/>
        <v>0.40833333333333333</v>
      </c>
      <c r="G120" t="s">
        <v>299</v>
      </c>
      <c r="H120" t="s">
        <v>52</v>
      </c>
      <c r="I120" t="str">
        <f t="shared" si="11"/>
        <v>Data Engineer</v>
      </c>
      <c r="J120" t="s">
        <v>31</v>
      </c>
      <c r="K120" t="s">
        <v>44</v>
      </c>
      <c r="L120">
        <f t="shared" si="12"/>
        <v>53</v>
      </c>
      <c r="M120" t="s">
        <v>443</v>
      </c>
      <c r="N120" t="str">
        <f t="shared" si="13"/>
        <v>Other</v>
      </c>
      <c r="O120" t="s">
        <v>204</v>
      </c>
      <c r="P120" t="str">
        <f t="shared" si="14"/>
        <v>JavaScript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6</v>
      </c>
      <c r="W120" t="s">
        <v>69</v>
      </c>
      <c r="X120" t="s">
        <v>114</v>
      </c>
      <c r="Y120" t="s">
        <v>37</v>
      </c>
      <c r="Z120">
        <v>25</v>
      </c>
      <c r="AA120" t="s">
        <v>444</v>
      </c>
      <c r="AB120" t="str">
        <f t="shared" si="15"/>
        <v>Other</v>
      </c>
      <c r="AC120" t="s">
        <v>227</v>
      </c>
      <c r="AD120" t="str">
        <f t="shared" si="16"/>
        <v>High School</v>
      </c>
      <c r="AE120" t="s">
        <v>445</v>
      </c>
      <c r="AF120" t="str">
        <f t="shared" si="17"/>
        <v>Other</v>
      </c>
    </row>
    <row r="121" spans="1:32" x14ac:dyDescent="0.45">
      <c r="A121" t="s">
        <v>446</v>
      </c>
      <c r="B121" t="s">
        <v>25</v>
      </c>
      <c r="C121" s="3" t="s">
        <v>26</v>
      </c>
      <c r="D121" s="3">
        <f t="shared" si="9"/>
        <v>44840</v>
      </c>
      <c r="E121" t="s">
        <v>442</v>
      </c>
      <c r="F121" s="4">
        <f t="shared" si="10"/>
        <v>0.40833333333333333</v>
      </c>
      <c r="G121" t="s">
        <v>126</v>
      </c>
      <c r="H121" t="s">
        <v>52</v>
      </c>
      <c r="I121" t="str">
        <f t="shared" si="11"/>
        <v>Data Engineer</v>
      </c>
      <c r="J121" t="s">
        <v>31</v>
      </c>
      <c r="K121" t="s">
        <v>94</v>
      </c>
      <c r="L121">
        <f t="shared" si="12"/>
        <v>75.5</v>
      </c>
      <c r="M121" t="s">
        <v>447</v>
      </c>
      <c r="N121" t="str">
        <f t="shared" si="13"/>
        <v>Other</v>
      </c>
      <c r="O121" t="s">
        <v>34</v>
      </c>
      <c r="P121" t="str">
        <f t="shared" si="14"/>
        <v>Python</v>
      </c>
      <c r="Q121">
        <v>5</v>
      </c>
      <c r="R121">
        <v>7</v>
      </c>
      <c r="S121">
        <v>7</v>
      </c>
      <c r="T121">
        <v>6</v>
      </c>
      <c r="U121">
        <v>6</v>
      </c>
      <c r="V121">
        <v>7</v>
      </c>
      <c r="W121" t="s">
        <v>85</v>
      </c>
      <c r="X121" t="s">
        <v>70</v>
      </c>
      <c r="Y121" t="s">
        <v>37</v>
      </c>
      <c r="Z121">
        <v>45</v>
      </c>
      <c r="AA121" t="s">
        <v>47</v>
      </c>
      <c r="AB121" t="str">
        <f t="shared" si="15"/>
        <v>Canada</v>
      </c>
      <c r="AC121" t="s">
        <v>240</v>
      </c>
      <c r="AD121" t="str">
        <f t="shared" si="16"/>
        <v>Masters</v>
      </c>
      <c r="AE121" t="s">
        <v>39</v>
      </c>
      <c r="AF121" t="str">
        <f t="shared" si="17"/>
        <v>White or Caucasian</v>
      </c>
    </row>
    <row r="122" spans="1:32" x14ac:dyDescent="0.45">
      <c r="A122" t="s">
        <v>448</v>
      </c>
      <c r="B122" t="s">
        <v>25</v>
      </c>
      <c r="C122" s="3" t="s">
        <v>26</v>
      </c>
      <c r="D122" s="3">
        <f t="shared" si="9"/>
        <v>44840</v>
      </c>
      <c r="E122" t="s">
        <v>449</v>
      </c>
      <c r="F122" s="4">
        <f t="shared" si="10"/>
        <v>0.40902777777777777</v>
      </c>
      <c r="G122" t="s">
        <v>93</v>
      </c>
      <c r="H122" t="s">
        <v>30</v>
      </c>
      <c r="I122" t="str">
        <f t="shared" si="11"/>
        <v>Data Analyst</v>
      </c>
      <c r="J122" t="s">
        <v>31</v>
      </c>
      <c r="K122" t="s">
        <v>94</v>
      </c>
      <c r="L122">
        <f t="shared" si="12"/>
        <v>75.5</v>
      </c>
      <c r="M122" t="s">
        <v>33</v>
      </c>
      <c r="N122" t="str">
        <f t="shared" si="13"/>
        <v>Healthcare</v>
      </c>
      <c r="O122" t="s">
        <v>450</v>
      </c>
      <c r="P122" t="str">
        <f t="shared" si="14"/>
        <v>Other</v>
      </c>
      <c r="Q122">
        <v>7</v>
      </c>
      <c r="R122">
        <v>3</v>
      </c>
      <c r="S122">
        <v>8</v>
      </c>
      <c r="T122">
        <v>6</v>
      </c>
      <c r="U122">
        <v>8</v>
      </c>
      <c r="V122">
        <v>8</v>
      </c>
      <c r="W122" t="s">
        <v>55</v>
      </c>
      <c r="X122" t="s">
        <v>56</v>
      </c>
      <c r="Y122" t="s">
        <v>37</v>
      </c>
      <c r="Z122">
        <v>24</v>
      </c>
      <c r="AA122" t="s">
        <v>38</v>
      </c>
      <c r="AB122" t="str">
        <f t="shared" si="15"/>
        <v>United States</v>
      </c>
      <c r="AC122" t="s">
        <v>237</v>
      </c>
      <c r="AD122" t="str">
        <f t="shared" si="16"/>
        <v>Bachelors</v>
      </c>
      <c r="AE122" t="s">
        <v>39</v>
      </c>
      <c r="AF122" t="str">
        <f t="shared" si="17"/>
        <v>White or Caucasian</v>
      </c>
    </row>
    <row r="123" spans="1:32" x14ac:dyDescent="0.45">
      <c r="A123" t="s">
        <v>451</v>
      </c>
      <c r="B123" t="s">
        <v>25</v>
      </c>
      <c r="C123" s="3" t="s">
        <v>26</v>
      </c>
      <c r="D123" s="3">
        <f t="shared" si="9"/>
        <v>44840</v>
      </c>
      <c r="E123" t="s">
        <v>449</v>
      </c>
      <c r="F123" s="4">
        <f t="shared" si="10"/>
        <v>0.40902777777777777</v>
      </c>
      <c r="G123" t="s">
        <v>452</v>
      </c>
      <c r="H123" t="s">
        <v>123</v>
      </c>
      <c r="I123" t="str">
        <f t="shared" si="11"/>
        <v>None</v>
      </c>
      <c r="J123" t="s">
        <v>43</v>
      </c>
      <c r="K123" t="s">
        <v>53</v>
      </c>
      <c r="L123">
        <f t="shared" si="12"/>
        <v>20</v>
      </c>
      <c r="M123" t="s">
        <v>453</v>
      </c>
      <c r="N123" t="str">
        <f t="shared" si="13"/>
        <v>Other</v>
      </c>
      <c r="O123" t="s">
        <v>46</v>
      </c>
      <c r="P123" t="str">
        <f t="shared" si="14"/>
        <v>R</v>
      </c>
      <c r="Q123">
        <v>1</v>
      </c>
      <c r="R123">
        <v>9</v>
      </c>
      <c r="S123">
        <v>6</v>
      </c>
      <c r="T123">
        <v>0</v>
      </c>
      <c r="U123">
        <v>0</v>
      </c>
      <c r="V123">
        <v>0</v>
      </c>
      <c r="W123" t="s">
        <v>69</v>
      </c>
      <c r="X123" t="s">
        <v>70</v>
      </c>
      <c r="Y123" t="s">
        <v>37</v>
      </c>
      <c r="Z123">
        <v>25</v>
      </c>
      <c r="AA123" t="s">
        <v>38</v>
      </c>
      <c r="AB123" t="str">
        <f t="shared" si="15"/>
        <v>United States</v>
      </c>
      <c r="AC123" t="s">
        <v>28</v>
      </c>
      <c r="AD123" t="str">
        <f t="shared" si="16"/>
        <v>none</v>
      </c>
      <c r="AE123" t="s">
        <v>58</v>
      </c>
      <c r="AF123" t="str">
        <f t="shared" si="17"/>
        <v>Black or African American</v>
      </c>
    </row>
    <row r="124" spans="1:32" x14ac:dyDescent="0.45">
      <c r="A124" t="s">
        <v>454</v>
      </c>
      <c r="B124" t="s">
        <v>25</v>
      </c>
      <c r="C124" s="3" t="s">
        <v>26</v>
      </c>
      <c r="D124" s="3">
        <f t="shared" si="9"/>
        <v>44840</v>
      </c>
      <c r="E124" t="s">
        <v>455</v>
      </c>
      <c r="F124" s="4">
        <f t="shared" si="10"/>
        <v>0.41041666666666665</v>
      </c>
      <c r="G124" t="s">
        <v>336</v>
      </c>
      <c r="H124" t="s">
        <v>30</v>
      </c>
      <c r="I124" t="str">
        <f t="shared" si="11"/>
        <v>Data Analyst</v>
      </c>
      <c r="J124" t="s">
        <v>31</v>
      </c>
      <c r="K124" t="s">
        <v>94</v>
      </c>
      <c r="L124">
        <f t="shared" si="12"/>
        <v>75.5</v>
      </c>
      <c r="M124" t="s">
        <v>340</v>
      </c>
      <c r="N124" t="str">
        <f t="shared" si="13"/>
        <v>Other</v>
      </c>
      <c r="O124" t="s">
        <v>34</v>
      </c>
      <c r="P124" t="str">
        <f t="shared" si="14"/>
        <v>Python</v>
      </c>
      <c r="Q124">
        <v>9</v>
      </c>
      <c r="R124">
        <v>8</v>
      </c>
      <c r="S124">
        <v>9</v>
      </c>
      <c r="T124">
        <v>9</v>
      </c>
      <c r="U124">
        <v>8</v>
      </c>
      <c r="V124">
        <v>8</v>
      </c>
      <c r="W124" t="s">
        <v>69</v>
      </c>
      <c r="X124" t="s">
        <v>56</v>
      </c>
      <c r="Y124" t="s">
        <v>37</v>
      </c>
      <c r="Z124">
        <v>26</v>
      </c>
      <c r="AA124" t="s">
        <v>38</v>
      </c>
      <c r="AB124" t="str">
        <f t="shared" si="15"/>
        <v>United States</v>
      </c>
      <c r="AC124" t="s">
        <v>237</v>
      </c>
      <c r="AD124" t="str">
        <f t="shared" si="16"/>
        <v>Bachelors</v>
      </c>
      <c r="AE124" t="s">
        <v>39</v>
      </c>
      <c r="AF124" t="str">
        <f t="shared" si="17"/>
        <v>White or Caucasian</v>
      </c>
    </row>
    <row r="125" spans="1:32" x14ac:dyDescent="0.45">
      <c r="A125" t="s">
        <v>456</v>
      </c>
      <c r="B125" t="s">
        <v>25</v>
      </c>
      <c r="C125" s="3" t="s">
        <v>26</v>
      </c>
      <c r="D125" s="3">
        <f t="shared" si="9"/>
        <v>44840</v>
      </c>
      <c r="E125" t="s">
        <v>457</v>
      </c>
      <c r="F125" s="4">
        <f t="shared" si="10"/>
        <v>0.41249999999999998</v>
      </c>
      <c r="G125" t="s">
        <v>333</v>
      </c>
      <c r="H125" t="s">
        <v>30</v>
      </c>
      <c r="I125" t="str">
        <f t="shared" si="11"/>
        <v>Data Analyst</v>
      </c>
      <c r="J125" t="s">
        <v>43</v>
      </c>
      <c r="K125" t="s">
        <v>44</v>
      </c>
      <c r="L125">
        <f t="shared" si="12"/>
        <v>53</v>
      </c>
      <c r="M125" t="s">
        <v>103</v>
      </c>
      <c r="N125" t="str">
        <f t="shared" si="13"/>
        <v>Tech</v>
      </c>
      <c r="O125" t="s">
        <v>46</v>
      </c>
      <c r="P125" t="str">
        <f t="shared" si="14"/>
        <v>R</v>
      </c>
      <c r="Q125">
        <v>4</v>
      </c>
      <c r="R125">
        <v>7</v>
      </c>
      <c r="S125">
        <v>8</v>
      </c>
      <c r="T125">
        <v>8</v>
      </c>
      <c r="U125">
        <v>5</v>
      </c>
      <c r="V125">
        <v>7</v>
      </c>
      <c r="W125" t="s">
        <v>55</v>
      </c>
      <c r="X125" t="s">
        <v>70</v>
      </c>
      <c r="Y125" t="s">
        <v>37</v>
      </c>
      <c r="Z125">
        <v>23</v>
      </c>
      <c r="AA125" t="s">
        <v>47</v>
      </c>
      <c r="AB125" t="str">
        <f t="shared" si="15"/>
        <v>Canada</v>
      </c>
      <c r="AC125" t="s">
        <v>237</v>
      </c>
      <c r="AD125" t="str">
        <f t="shared" si="16"/>
        <v>Bachelors</v>
      </c>
      <c r="AE125" t="s">
        <v>48</v>
      </c>
      <c r="AF125" t="str">
        <f t="shared" si="17"/>
        <v>Asian or Asian American</v>
      </c>
    </row>
    <row r="126" spans="1:32" x14ac:dyDescent="0.45">
      <c r="A126" t="s">
        <v>458</v>
      </c>
      <c r="B126" t="s">
        <v>25</v>
      </c>
      <c r="C126" s="3" t="s">
        <v>26</v>
      </c>
      <c r="D126" s="3">
        <f t="shared" si="9"/>
        <v>44840</v>
      </c>
      <c r="E126" t="s">
        <v>459</v>
      </c>
      <c r="F126" s="4">
        <f t="shared" si="10"/>
        <v>0.41319444444444442</v>
      </c>
      <c r="G126" t="s">
        <v>171</v>
      </c>
      <c r="H126" t="s">
        <v>123</v>
      </c>
      <c r="I126" t="str">
        <f t="shared" si="11"/>
        <v>None</v>
      </c>
      <c r="J126" t="s">
        <v>31</v>
      </c>
      <c r="K126" t="s">
        <v>53</v>
      </c>
      <c r="L126">
        <f t="shared" si="12"/>
        <v>20</v>
      </c>
      <c r="M126" t="s">
        <v>460</v>
      </c>
      <c r="N126" t="str">
        <f t="shared" si="13"/>
        <v>Other</v>
      </c>
      <c r="O126" t="s">
        <v>34</v>
      </c>
      <c r="P126" t="str">
        <f t="shared" si="14"/>
        <v>Python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3</v>
      </c>
      <c r="W126" t="s">
        <v>69</v>
      </c>
      <c r="X126" t="s">
        <v>36</v>
      </c>
      <c r="Y126" t="s">
        <v>65</v>
      </c>
      <c r="Z126">
        <v>42</v>
      </c>
      <c r="AA126" t="s">
        <v>109</v>
      </c>
      <c r="AB126" t="str">
        <f t="shared" si="15"/>
        <v>United Kingdom</v>
      </c>
      <c r="AC126" t="s">
        <v>240</v>
      </c>
      <c r="AD126" t="str">
        <f t="shared" si="16"/>
        <v>Masters</v>
      </c>
      <c r="AE126" t="s">
        <v>39</v>
      </c>
      <c r="AF126" t="str">
        <f t="shared" si="17"/>
        <v>White or Caucasian</v>
      </c>
    </row>
    <row r="127" spans="1:32" x14ac:dyDescent="0.45">
      <c r="A127" t="s">
        <v>461</v>
      </c>
      <c r="B127" t="s">
        <v>25</v>
      </c>
      <c r="C127" s="3" t="s">
        <v>26</v>
      </c>
      <c r="D127" s="3">
        <f t="shared" si="9"/>
        <v>44840</v>
      </c>
      <c r="E127" t="s">
        <v>462</v>
      </c>
      <c r="F127" s="4">
        <f t="shared" si="10"/>
        <v>0.41388888888888886</v>
      </c>
      <c r="G127" t="s">
        <v>42</v>
      </c>
      <c r="H127" t="s">
        <v>463</v>
      </c>
      <c r="I127" t="str">
        <f t="shared" si="11"/>
        <v>Other</v>
      </c>
      <c r="J127" t="s">
        <v>31</v>
      </c>
      <c r="K127" t="s">
        <v>44</v>
      </c>
      <c r="L127">
        <f t="shared" si="12"/>
        <v>53</v>
      </c>
      <c r="M127" t="s">
        <v>108</v>
      </c>
      <c r="N127" t="str">
        <f t="shared" si="13"/>
        <v>Education</v>
      </c>
      <c r="O127" t="s">
        <v>464</v>
      </c>
      <c r="P127" t="str">
        <f t="shared" si="14"/>
        <v>Other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 t="s">
        <v>35</v>
      </c>
      <c r="X127" t="s">
        <v>56</v>
      </c>
      <c r="Y127" t="s">
        <v>65</v>
      </c>
      <c r="Z127">
        <v>42</v>
      </c>
      <c r="AA127" t="s">
        <v>38</v>
      </c>
      <c r="AB127" t="str">
        <f t="shared" si="15"/>
        <v>United States</v>
      </c>
      <c r="AC127" t="s">
        <v>237</v>
      </c>
      <c r="AD127" t="str">
        <f t="shared" si="16"/>
        <v>Bachelors</v>
      </c>
      <c r="AE127" t="s">
        <v>58</v>
      </c>
      <c r="AF127" t="str">
        <f t="shared" si="17"/>
        <v>Black or African American</v>
      </c>
    </row>
    <row r="128" spans="1:32" x14ac:dyDescent="0.45">
      <c r="A128" t="s">
        <v>465</v>
      </c>
      <c r="B128" t="s">
        <v>25</v>
      </c>
      <c r="C128" s="3" t="s">
        <v>26</v>
      </c>
      <c r="D128" s="3">
        <f t="shared" si="9"/>
        <v>44840</v>
      </c>
      <c r="E128" t="s">
        <v>466</v>
      </c>
      <c r="F128" s="4">
        <f t="shared" si="10"/>
        <v>0.41458333333333336</v>
      </c>
      <c r="G128" t="s">
        <v>467</v>
      </c>
      <c r="H128" t="s">
        <v>266</v>
      </c>
      <c r="I128" t="str">
        <f t="shared" si="11"/>
        <v>Other</v>
      </c>
      <c r="J128" t="s">
        <v>43</v>
      </c>
      <c r="K128" t="s">
        <v>53</v>
      </c>
      <c r="L128">
        <f t="shared" si="12"/>
        <v>20</v>
      </c>
      <c r="M128" t="s">
        <v>103</v>
      </c>
      <c r="N128" t="str">
        <f t="shared" si="13"/>
        <v>Tech</v>
      </c>
      <c r="O128" t="s">
        <v>34</v>
      </c>
      <c r="P128" t="str">
        <f t="shared" si="14"/>
        <v>Python</v>
      </c>
      <c r="Q128">
        <v>0</v>
      </c>
      <c r="R128">
        <v>6</v>
      </c>
      <c r="S128">
        <v>5</v>
      </c>
      <c r="T128">
        <v>5</v>
      </c>
      <c r="U128">
        <v>3</v>
      </c>
      <c r="V128">
        <v>1</v>
      </c>
      <c r="W128" t="s">
        <v>85</v>
      </c>
      <c r="X128" t="s">
        <v>70</v>
      </c>
      <c r="Y128" t="s">
        <v>37</v>
      </c>
      <c r="Z128">
        <v>25</v>
      </c>
      <c r="AA128" t="s">
        <v>147</v>
      </c>
      <c r="AB128" t="str">
        <f t="shared" si="15"/>
        <v>India</v>
      </c>
      <c r="AC128" t="s">
        <v>240</v>
      </c>
      <c r="AD128" t="str">
        <f t="shared" si="16"/>
        <v>Masters</v>
      </c>
      <c r="AE128" t="s">
        <v>48</v>
      </c>
      <c r="AF128" t="str">
        <f t="shared" si="17"/>
        <v>Asian or Asian American</v>
      </c>
    </row>
    <row r="129" spans="1:32" x14ac:dyDescent="0.45">
      <c r="A129" t="s">
        <v>468</v>
      </c>
      <c r="B129" t="s">
        <v>25</v>
      </c>
      <c r="C129" s="3" t="s">
        <v>26</v>
      </c>
      <c r="D129" s="3">
        <f t="shared" si="9"/>
        <v>44840</v>
      </c>
      <c r="E129" t="s">
        <v>469</v>
      </c>
      <c r="F129" s="4">
        <f t="shared" si="10"/>
        <v>0.4152777777777778</v>
      </c>
      <c r="G129" t="s">
        <v>470</v>
      </c>
      <c r="H129" t="s">
        <v>30</v>
      </c>
      <c r="I129" t="str">
        <f t="shared" si="11"/>
        <v>Data Analyst</v>
      </c>
      <c r="J129" t="s">
        <v>31</v>
      </c>
      <c r="K129" t="s">
        <v>87</v>
      </c>
      <c r="L129">
        <f t="shared" si="12"/>
        <v>95.5</v>
      </c>
      <c r="M129" t="s">
        <v>103</v>
      </c>
      <c r="N129" t="str">
        <f t="shared" si="13"/>
        <v>Tech</v>
      </c>
      <c r="O129" t="s">
        <v>46</v>
      </c>
      <c r="P129" t="str">
        <f t="shared" si="14"/>
        <v>R</v>
      </c>
      <c r="Q129">
        <v>8</v>
      </c>
      <c r="R129">
        <v>10</v>
      </c>
      <c r="S129">
        <v>10</v>
      </c>
      <c r="T129">
        <v>10</v>
      </c>
      <c r="U129">
        <v>2</v>
      </c>
      <c r="V129">
        <v>7</v>
      </c>
      <c r="W129" t="s">
        <v>55</v>
      </c>
      <c r="X129" t="s">
        <v>36</v>
      </c>
      <c r="Y129" t="s">
        <v>37</v>
      </c>
      <c r="Z129">
        <v>38</v>
      </c>
      <c r="AA129" t="s">
        <v>38</v>
      </c>
      <c r="AB129" t="str">
        <f t="shared" si="15"/>
        <v>United States</v>
      </c>
      <c r="AC129" t="s">
        <v>240</v>
      </c>
      <c r="AD129" t="str">
        <f t="shared" si="16"/>
        <v>Masters</v>
      </c>
      <c r="AE129" t="s">
        <v>39</v>
      </c>
      <c r="AF129" t="str">
        <f t="shared" si="17"/>
        <v>White or Caucasian</v>
      </c>
    </row>
    <row r="130" spans="1:32" x14ac:dyDescent="0.45">
      <c r="A130" t="s">
        <v>471</v>
      </c>
      <c r="B130" t="s">
        <v>25</v>
      </c>
      <c r="C130" s="3" t="s">
        <v>26</v>
      </c>
      <c r="D130" s="3">
        <f t="shared" si="9"/>
        <v>44840</v>
      </c>
      <c r="E130" t="s">
        <v>469</v>
      </c>
      <c r="F130" s="4">
        <f t="shared" si="10"/>
        <v>0.4152777777777778</v>
      </c>
      <c r="G130" t="s">
        <v>472</v>
      </c>
      <c r="H130" t="s">
        <v>473</v>
      </c>
      <c r="I130" t="str">
        <f t="shared" si="11"/>
        <v>Other</v>
      </c>
      <c r="J130" t="s">
        <v>43</v>
      </c>
      <c r="K130" t="s">
        <v>53</v>
      </c>
      <c r="L130">
        <f t="shared" si="12"/>
        <v>20</v>
      </c>
      <c r="M130" t="s">
        <v>103</v>
      </c>
      <c r="N130" t="str">
        <f t="shared" si="13"/>
        <v>Tech</v>
      </c>
      <c r="O130" t="s">
        <v>34</v>
      </c>
      <c r="P130" t="str">
        <f t="shared" si="14"/>
        <v>Python</v>
      </c>
      <c r="Q130">
        <v>5</v>
      </c>
      <c r="R130">
        <v>6</v>
      </c>
      <c r="S130">
        <v>6</v>
      </c>
      <c r="T130">
        <v>6</v>
      </c>
      <c r="U130">
        <v>6</v>
      </c>
      <c r="V130">
        <v>4</v>
      </c>
      <c r="W130" t="s">
        <v>55</v>
      </c>
      <c r="X130" t="s">
        <v>70</v>
      </c>
      <c r="Y130" t="s">
        <v>37</v>
      </c>
      <c r="Z130">
        <v>24</v>
      </c>
      <c r="AA130" t="s">
        <v>403</v>
      </c>
      <c r="AB130" t="str">
        <f t="shared" si="15"/>
        <v>Other</v>
      </c>
      <c r="AC130" t="s">
        <v>237</v>
      </c>
      <c r="AD130" t="str">
        <f t="shared" si="16"/>
        <v>Bachelors</v>
      </c>
      <c r="AE130" t="s">
        <v>91</v>
      </c>
      <c r="AF130" t="str">
        <f t="shared" si="17"/>
        <v>Hispanic or Latino</v>
      </c>
    </row>
    <row r="131" spans="1:32" x14ac:dyDescent="0.45">
      <c r="A131" t="s">
        <v>474</v>
      </c>
      <c r="B131" t="s">
        <v>25</v>
      </c>
      <c r="C131" s="3" t="s">
        <v>26</v>
      </c>
      <c r="D131" s="3">
        <f t="shared" ref="D131:D194" si="18">DATEVALUE(C131)</f>
        <v>44840</v>
      </c>
      <c r="E131" t="s">
        <v>475</v>
      </c>
      <c r="F131" s="4">
        <f t="shared" ref="F131:F194" si="19">TIMEVALUE(E131)</f>
        <v>0.41736111111111113</v>
      </c>
      <c r="G131" t="s">
        <v>171</v>
      </c>
      <c r="H131" t="s">
        <v>30</v>
      </c>
      <c r="I131" t="str">
        <f t="shared" ref="I131:I194" si="20">IF(LEFT(H131,5)="Other","Other",IF(ISNUMBER(SEARCH("None",H131)),"None",H131))</f>
        <v>Data Analyst</v>
      </c>
      <c r="J131" t="s">
        <v>31</v>
      </c>
      <c r="K131" t="s">
        <v>94</v>
      </c>
      <c r="L131">
        <f t="shared" ref="L131:L194" si="21">(VALUE(SUBSTITUTE(LEFT(K131,FIND("-",K131)-1),"k","")) + VALUE(SUBSTITUTE(MID(K131,FIND("-",K131)+1,LEN(K131)),"k","")))/2</f>
        <v>75.5</v>
      </c>
      <c r="M131" t="s">
        <v>108</v>
      </c>
      <c r="N131" t="str">
        <f t="shared" ref="N131:N194" si="22">IF(LEFT(M131,5)="Other","Other",IF(ISNUMBER(SEARCH("None",M131)),"None",M131))</f>
        <v>Education</v>
      </c>
      <c r="O131" t="s">
        <v>46</v>
      </c>
      <c r="P131" t="str">
        <f t="shared" ref="P131:P194" si="23">IF(LEFT(O131,5)="Other","Other",IF(ISNUMBER(SEARCH("None",O131)),"None",O131))</f>
        <v>R</v>
      </c>
      <c r="Q131">
        <v>7</v>
      </c>
      <c r="R131">
        <v>10</v>
      </c>
      <c r="S131">
        <v>10</v>
      </c>
      <c r="T131">
        <v>10</v>
      </c>
      <c r="U131">
        <v>8</v>
      </c>
      <c r="V131">
        <v>10</v>
      </c>
      <c r="W131" t="s">
        <v>85</v>
      </c>
      <c r="X131" t="s">
        <v>56</v>
      </c>
      <c r="Y131" t="s">
        <v>37</v>
      </c>
      <c r="Z131">
        <v>28</v>
      </c>
      <c r="AA131" t="s">
        <v>38</v>
      </c>
      <c r="AB131" t="str">
        <f t="shared" ref="AB131:AB194" si="24">IF(LEFT(AA131,5)="Other","Other",IF(ISNUMBER(SEARCH("None",AA131)),"None",AA131))</f>
        <v>United States</v>
      </c>
      <c r="AC131" t="s">
        <v>237</v>
      </c>
      <c r="AD131" t="str">
        <f t="shared" ref="AD131:AD194" si="25">IF(AC131="","none",AC131)</f>
        <v>Bachelors</v>
      </c>
      <c r="AE131" t="s">
        <v>39</v>
      </c>
      <c r="AF131" t="str">
        <f t="shared" ref="AF131:AF194" si="26">IF(LEFT(AE131,5)="Other","Other",IF(ISNUMBER(SEARCH("None",AE131)),"None",AE131))</f>
        <v>White or Caucasian</v>
      </c>
    </row>
    <row r="132" spans="1:32" x14ac:dyDescent="0.45">
      <c r="A132" t="s">
        <v>476</v>
      </c>
      <c r="B132" t="s">
        <v>25</v>
      </c>
      <c r="C132" s="3" t="s">
        <v>26</v>
      </c>
      <c r="D132" s="3">
        <f t="shared" si="18"/>
        <v>44840</v>
      </c>
      <c r="E132" t="s">
        <v>477</v>
      </c>
      <c r="F132" s="4">
        <f t="shared" si="19"/>
        <v>0.41875000000000001</v>
      </c>
      <c r="G132" t="s">
        <v>119</v>
      </c>
      <c r="H132" t="s">
        <v>30</v>
      </c>
      <c r="I132" t="str">
        <f t="shared" si="20"/>
        <v>Data Analyst</v>
      </c>
      <c r="J132" t="s">
        <v>43</v>
      </c>
      <c r="K132" t="s">
        <v>44</v>
      </c>
      <c r="L132">
        <f t="shared" si="21"/>
        <v>53</v>
      </c>
      <c r="M132" t="s">
        <v>33</v>
      </c>
      <c r="N132" t="str">
        <f t="shared" si="22"/>
        <v>Healthcare</v>
      </c>
      <c r="O132" t="s">
        <v>34</v>
      </c>
      <c r="P132" t="str">
        <f t="shared" si="23"/>
        <v>Python</v>
      </c>
      <c r="Q132">
        <v>1</v>
      </c>
      <c r="R132">
        <v>2</v>
      </c>
      <c r="S132">
        <v>8</v>
      </c>
      <c r="T132">
        <v>7</v>
      </c>
      <c r="U132">
        <v>0</v>
      </c>
      <c r="V132">
        <v>0</v>
      </c>
      <c r="W132" t="s">
        <v>69</v>
      </c>
      <c r="X132" t="s">
        <v>70</v>
      </c>
      <c r="Y132" t="s">
        <v>37</v>
      </c>
      <c r="Z132">
        <v>21</v>
      </c>
      <c r="AA132" t="s">
        <v>38</v>
      </c>
      <c r="AB132" t="str">
        <f t="shared" si="24"/>
        <v>United States</v>
      </c>
      <c r="AC132" t="s">
        <v>237</v>
      </c>
      <c r="AD132" t="str">
        <f t="shared" si="25"/>
        <v>Bachelors</v>
      </c>
      <c r="AE132" t="s">
        <v>48</v>
      </c>
      <c r="AF132" t="str">
        <f t="shared" si="26"/>
        <v>Asian or Asian American</v>
      </c>
    </row>
    <row r="133" spans="1:32" x14ac:dyDescent="0.45">
      <c r="A133" t="s">
        <v>478</v>
      </c>
      <c r="B133" t="s">
        <v>25</v>
      </c>
      <c r="C133" s="3" t="s">
        <v>26</v>
      </c>
      <c r="D133" s="3">
        <f t="shared" si="18"/>
        <v>44840</v>
      </c>
      <c r="E133" t="s">
        <v>477</v>
      </c>
      <c r="F133" s="4">
        <f t="shared" si="19"/>
        <v>0.41875000000000001</v>
      </c>
      <c r="G133" t="s">
        <v>479</v>
      </c>
      <c r="H133" t="s">
        <v>30</v>
      </c>
      <c r="I133" t="str">
        <f t="shared" si="20"/>
        <v>Data Analyst</v>
      </c>
      <c r="J133" t="s">
        <v>31</v>
      </c>
      <c r="K133" t="s">
        <v>32</v>
      </c>
      <c r="L133">
        <f t="shared" si="21"/>
        <v>115.5</v>
      </c>
      <c r="M133" t="s">
        <v>33</v>
      </c>
      <c r="N133" t="str">
        <f t="shared" si="22"/>
        <v>Healthcare</v>
      </c>
      <c r="O133" t="s">
        <v>46</v>
      </c>
      <c r="P133" t="str">
        <f t="shared" si="23"/>
        <v>R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 t="s">
        <v>64</v>
      </c>
      <c r="X133" t="s">
        <v>114</v>
      </c>
      <c r="Y133" t="s">
        <v>37</v>
      </c>
      <c r="Z133">
        <v>39</v>
      </c>
      <c r="AA133" t="s">
        <v>38</v>
      </c>
      <c r="AB133" t="str">
        <f t="shared" si="24"/>
        <v>United States</v>
      </c>
      <c r="AC133" t="s">
        <v>240</v>
      </c>
      <c r="AD133" t="str">
        <f t="shared" si="25"/>
        <v>Masters</v>
      </c>
      <c r="AE133" t="s">
        <v>39</v>
      </c>
      <c r="AF133" t="str">
        <f t="shared" si="26"/>
        <v>White or Caucasian</v>
      </c>
    </row>
    <row r="134" spans="1:32" x14ac:dyDescent="0.45">
      <c r="A134" t="s">
        <v>480</v>
      </c>
      <c r="B134" t="s">
        <v>25</v>
      </c>
      <c r="C134" s="3" t="s">
        <v>26</v>
      </c>
      <c r="D134" s="3">
        <f t="shared" si="18"/>
        <v>44840</v>
      </c>
      <c r="E134" t="s">
        <v>481</v>
      </c>
      <c r="F134" s="4">
        <f t="shared" si="19"/>
        <v>0.4201388888888889</v>
      </c>
      <c r="G134" t="s">
        <v>482</v>
      </c>
      <c r="H134" t="s">
        <v>30</v>
      </c>
      <c r="I134" t="str">
        <f t="shared" si="20"/>
        <v>Data Analyst</v>
      </c>
      <c r="J134" t="s">
        <v>31</v>
      </c>
      <c r="K134" t="s">
        <v>53</v>
      </c>
      <c r="L134">
        <f t="shared" si="21"/>
        <v>20</v>
      </c>
      <c r="M134" t="s">
        <v>103</v>
      </c>
      <c r="N134" t="str">
        <f t="shared" si="22"/>
        <v>Tech</v>
      </c>
      <c r="O134" t="s">
        <v>34</v>
      </c>
      <c r="P134" t="str">
        <f t="shared" si="23"/>
        <v>Python</v>
      </c>
      <c r="Q134">
        <v>4</v>
      </c>
      <c r="R134">
        <v>5</v>
      </c>
      <c r="S134">
        <v>5</v>
      </c>
      <c r="T134">
        <v>5</v>
      </c>
      <c r="U134">
        <v>6</v>
      </c>
      <c r="V134">
        <v>8</v>
      </c>
      <c r="W134" t="s">
        <v>69</v>
      </c>
      <c r="X134" t="s">
        <v>56</v>
      </c>
      <c r="Y134" t="s">
        <v>37</v>
      </c>
      <c r="Z134">
        <v>23</v>
      </c>
      <c r="AA134" t="s">
        <v>483</v>
      </c>
      <c r="AB134" t="str">
        <f t="shared" si="24"/>
        <v>Other</v>
      </c>
      <c r="AC134" t="s">
        <v>237</v>
      </c>
      <c r="AD134" t="str">
        <f t="shared" si="25"/>
        <v>Bachelors</v>
      </c>
      <c r="AE134" t="s">
        <v>48</v>
      </c>
      <c r="AF134" t="str">
        <f t="shared" si="26"/>
        <v>Asian or Asian American</v>
      </c>
    </row>
    <row r="135" spans="1:32" x14ac:dyDescent="0.45">
      <c r="A135" t="s">
        <v>484</v>
      </c>
      <c r="B135" t="s">
        <v>25</v>
      </c>
      <c r="C135" s="3" t="s">
        <v>26</v>
      </c>
      <c r="D135" s="3">
        <f t="shared" si="18"/>
        <v>44840</v>
      </c>
      <c r="E135" t="s">
        <v>481</v>
      </c>
      <c r="F135" s="4">
        <f t="shared" si="19"/>
        <v>0.4201388888888889</v>
      </c>
      <c r="G135" t="s">
        <v>485</v>
      </c>
      <c r="H135" t="s">
        <v>30</v>
      </c>
      <c r="I135" t="str">
        <f t="shared" si="20"/>
        <v>Data Analyst</v>
      </c>
      <c r="J135" t="s">
        <v>43</v>
      </c>
      <c r="K135" t="s">
        <v>53</v>
      </c>
      <c r="L135">
        <f t="shared" si="21"/>
        <v>20</v>
      </c>
      <c r="M135" t="s">
        <v>486</v>
      </c>
      <c r="N135" t="str">
        <f t="shared" si="22"/>
        <v>Other</v>
      </c>
      <c r="O135" t="s">
        <v>46</v>
      </c>
      <c r="P135" t="str">
        <f t="shared" si="23"/>
        <v>R</v>
      </c>
      <c r="Q135">
        <v>1</v>
      </c>
      <c r="R135">
        <v>6</v>
      </c>
      <c r="S135">
        <v>4</v>
      </c>
      <c r="T135">
        <v>3</v>
      </c>
      <c r="U135">
        <v>5</v>
      </c>
      <c r="V135">
        <v>6</v>
      </c>
      <c r="W135" t="s">
        <v>85</v>
      </c>
      <c r="X135" t="s">
        <v>56</v>
      </c>
      <c r="Y135" t="s">
        <v>65</v>
      </c>
      <c r="Z135">
        <v>23</v>
      </c>
      <c r="AA135" t="s">
        <v>199</v>
      </c>
      <c r="AB135" t="str">
        <f t="shared" si="24"/>
        <v>Other</v>
      </c>
      <c r="AC135" t="s">
        <v>237</v>
      </c>
      <c r="AD135" t="str">
        <f t="shared" si="25"/>
        <v>Bachelors</v>
      </c>
      <c r="AE135" t="s">
        <v>39</v>
      </c>
      <c r="AF135" t="str">
        <f t="shared" si="26"/>
        <v>White or Caucasian</v>
      </c>
    </row>
    <row r="136" spans="1:32" x14ac:dyDescent="0.45">
      <c r="A136" t="s">
        <v>487</v>
      </c>
      <c r="B136" t="s">
        <v>25</v>
      </c>
      <c r="C136" s="3" t="s">
        <v>26</v>
      </c>
      <c r="D136" s="3">
        <f t="shared" si="18"/>
        <v>44840</v>
      </c>
      <c r="E136" t="s">
        <v>481</v>
      </c>
      <c r="F136" s="4">
        <f t="shared" si="19"/>
        <v>0.4201388888888889</v>
      </c>
      <c r="G136" t="s">
        <v>202</v>
      </c>
      <c r="H136" t="s">
        <v>30</v>
      </c>
      <c r="I136" t="str">
        <f t="shared" si="20"/>
        <v>Data Analyst</v>
      </c>
      <c r="J136" t="s">
        <v>31</v>
      </c>
      <c r="K136" t="s">
        <v>94</v>
      </c>
      <c r="L136">
        <f t="shared" si="21"/>
        <v>75.5</v>
      </c>
      <c r="M136" t="s">
        <v>426</v>
      </c>
      <c r="N136" t="str">
        <f t="shared" si="22"/>
        <v>Other</v>
      </c>
      <c r="O136" t="s">
        <v>46</v>
      </c>
      <c r="P136" t="str">
        <f t="shared" si="23"/>
        <v>R</v>
      </c>
      <c r="Q136">
        <v>8</v>
      </c>
      <c r="R136">
        <v>9</v>
      </c>
      <c r="S136">
        <v>8</v>
      </c>
      <c r="T136">
        <v>7</v>
      </c>
      <c r="U136">
        <v>7</v>
      </c>
      <c r="V136">
        <v>8</v>
      </c>
      <c r="W136" t="s">
        <v>85</v>
      </c>
      <c r="X136" t="s">
        <v>56</v>
      </c>
      <c r="Y136" t="s">
        <v>37</v>
      </c>
      <c r="Z136">
        <v>30</v>
      </c>
      <c r="AA136" t="s">
        <v>38</v>
      </c>
      <c r="AB136" t="str">
        <f t="shared" si="24"/>
        <v>United States</v>
      </c>
      <c r="AC136" t="s">
        <v>240</v>
      </c>
      <c r="AD136" t="str">
        <f t="shared" si="25"/>
        <v>Masters</v>
      </c>
      <c r="AE136" t="s">
        <v>39</v>
      </c>
      <c r="AF136" t="str">
        <f t="shared" si="26"/>
        <v>White or Caucasian</v>
      </c>
    </row>
    <row r="137" spans="1:32" x14ac:dyDescent="0.45">
      <c r="A137" t="s">
        <v>488</v>
      </c>
      <c r="B137" t="s">
        <v>25</v>
      </c>
      <c r="C137" s="3" t="s">
        <v>26</v>
      </c>
      <c r="D137" s="3">
        <f t="shared" si="18"/>
        <v>44840</v>
      </c>
      <c r="E137" t="s">
        <v>489</v>
      </c>
      <c r="F137" s="4">
        <f t="shared" si="19"/>
        <v>0.42083333333333334</v>
      </c>
      <c r="G137" t="s">
        <v>490</v>
      </c>
      <c r="H137" t="s">
        <v>30</v>
      </c>
      <c r="I137" t="str">
        <f t="shared" si="20"/>
        <v>Data Analyst</v>
      </c>
      <c r="J137" t="s">
        <v>43</v>
      </c>
      <c r="K137" t="s">
        <v>44</v>
      </c>
      <c r="L137">
        <f t="shared" si="21"/>
        <v>53</v>
      </c>
      <c r="M137" t="s">
        <v>491</v>
      </c>
      <c r="N137" t="str">
        <f t="shared" si="22"/>
        <v>Other</v>
      </c>
      <c r="O137" t="s">
        <v>34</v>
      </c>
      <c r="P137" t="str">
        <f t="shared" si="23"/>
        <v>Python</v>
      </c>
      <c r="Q137">
        <v>2</v>
      </c>
      <c r="R137">
        <v>6</v>
      </c>
      <c r="S137">
        <v>2</v>
      </c>
      <c r="T137">
        <v>3</v>
      </c>
      <c r="U137">
        <v>2</v>
      </c>
      <c r="V137">
        <v>2</v>
      </c>
      <c r="W137" t="s">
        <v>55</v>
      </c>
      <c r="X137" t="s">
        <v>70</v>
      </c>
      <c r="Y137" t="s">
        <v>37</v>
      </c>
      <c r="Z137">
        <v>26</v>
      </c>
      <c r="AA137" t="s">
        <v>492</v>
      </c>
      <c r="AB137" t="str">
        <f t="shared" si="24"/>
        <v>Other</v>
      </c>
      <c r="AC137" t="s">
        <v>240</v>
      </c>
      <c r="AD137" t="str">
        <f t="shared" si="25"/>
        <v>Masters</v>
      </c>
      <c r="AE137" t="s">
        <v>39</v>
      </c>
      <c r="AF137" t="str">
        <f t="shared" si="26"/>
        <v>White or Caucasian</v>
      </c>
    </row>
    <row r="138" spans="1:32" x14ac:dyDescent="0.45">
      <c r="A138" t="s">
        <v>493</v>
      </c>
      <c r="B138" t="s">
        <v>25</v>
      </c>
      <c r="C138" s="3" t="s">
        <v>26</v>
      </c>
      <c r="D138" s="3">
        <f t="shared" si="18"/>
        <v>44840</v>
      </c>
      <c r="E138" t="s">
        <v>489</v>
      </c>
      <c r="F138" s="4">
        <f t="shared" si="19"/>
        <v>0.42083333333333334</v>
      </c>
      <c r="G138" t="s">
        <v>51</v>
      </c>
      <c r="H138" t="s">
        <v>30</v>
      </c>
      <c r="I138" t="str">
        <f t="shared" si="20"/>
        <v>Data Analyst</v>
      </c>
      <c r="J138" t="s">
        <v>31</v>
      </c>
      <c r="K138" t="s">
        <v>44</v>
      </c>
      <c r="L138">
        <f t="shared" si="21"/>
        <v>53</v>
      </c>
      <c r="M138" t="s">
        <v>33</v>
      </c>
      <c r="N138" t="str">
        <f t="shared" si="22"/>
        <v>Healthcare</v>
      </c>
      <c r="O138" t="s">
        <v>46</v>
      </c>
      <c r="P138" t="str">
        <f t="shared" si="23"/>
        <v>R</v>
      </c>
      <c r="Q138">
        <v>3</v>
      </c>
      <c r="R138">
        <v>6</v>
      </c>
      <c r="S138">
        <v>4</v>
      </c>
      <c r="T138">
        <v>6</v>
      </c>
      <c r="U138">
        <v>4</v>
      </c>
      <c r="V138">
        <v>6</v>
      </c>
      <c r="W138" t="s">
        <v>85</v>
      </c>
      <c r="X138" t="s">
        <v>70</v>
      </c>
      <c r="Y138" t="s">
        <v>37</v>
      </c>
      <c r="Z138">
        <v>37</v>
      </c>
      <c r="AA138" t="s">
        <v>38</v>
      </c>
      <c r="AB138" t="str">
        <f t="shared" si="24"/>
        <v>United States</v>
      </c>
      <c r="AC138" t="s">
        <v>237</v>
      </c>
      <c r="AD138" t="str">
        <f t="shared" si="25"/>
        <v>Bachelors</v>
      </c>
      <c r="AE138" t="s">
        <v>39</v>
      </c>
      <c r="AF138" t="str">
        <f t="shared" si="26"/>
        <v>White or Caucasian</v>
      </c>
    </row>
    <row r="139" spans="1:32" x14ac:dyDescent="0.45">
      <c r="A139" t="s">
        <v>494</v>
      </c>
      <c r="B139" t="s">
        <v>25</v>
      </c>
      <c r="C139" s="3" t="s">
        <v>26</v>
      </c>
      <c r="D139" s="3">
        <f t="shared" si="18"/>
        <v>44840</v>
      </c>
      <c r="E139" t="s">
        <v>495</v>
      </c>
      <c r="F139" s="4">
        <f t="shared" si="19"/>
        <v>0.42222222222222222</v>
      </c>
      <c r="G139" t="s">
        <v>344</v>
      </c>
      <c r="H139" t="s">
        <v>30</v>
      </c>
      <c r="I139" t="str">
        <f t="shared" si="20"/>
        <v>Data Analyst</v>
      </c>
      <c r="J139" t="s">
        <v>31</v>
      </c>
      <c r="K139" t="s">
        <v>94</v>
      </c>
      <c r="L139">
        <f t="shared" si="21"/>
        <v>75.5</v>
      </c>
      <c r="M139" t="s">
        <v>33</v>
      </c>
      <c r="N139" t="str">
        <f t="shared" si="22"/>
        <v>Healthcare</v>
      </c>
      <c r="O139" t="s">
        <v>34</v>
      </c>
      <c r="P139" t="str">
        <f t="shared" si="23"/>
        <v>Python</v>
      </c>
      <c r="Q139">
        <v>3</v>
      </c>
      <c r="R139">
        <v>5</v>
      </c>
      <c r="S139">
        <v>4</v>
      </c>
      <c r="T139">
        <v>5</v>
      </c>
      <c r="U139">
        <v>4</v>
      </c>
      <c r="V139">
        <v>4</v>
      </c>
      <c r="W139" t="s">
        <v>85</v>
      </c>
      <c r="X139" t="s">
        <v>70</v>
      </c>
      <c r="Y139" t="s">
        <v>65</v>
      </c>
      <c r="Z139">
        <v>31</v>
      </c>
      <c r="AA139" t="s">
        <v>38</v>
      </c>
      <c r="AB139" t="str">
        <f t="shared" si="24"/>
        <v>United States</v>
      </c>
      <c r="AC139" t="s">
        <v>237</v>
      </c>
      <c r="AD139" t="str">
        <f t="shared" si="25"/>
        <v>Bachelors</v>
      </c>
      <c r="AE139" t="s">
        <v>39</v>
      </c>
      <c r="AF139" t="str">
        <f t="shared" si="26"/>
        <v>White or Caucasian</v>
      </c>
    </row>
    <row r="140" spans="1:32" x14ac:dyDescent="0.45">
      <c r="A140" t="s">
        <v>496</v>
      </c>
      <c r="B140" t="s">
        <v>25</v>
      </c>
      <c r="C140" s="3" t="s">
        <v>26</v>
      </c>
      <c r="D140" s="3">
        <f t="shared" si="18"/>
        <v>44840</v>
      </c>
      <c r="E140" t="s">
        <v>497</v>
      </c>
      <c r="F140" s="4">
        <f t="shared" si="19"/>
        <v>0.42430555555555555</v>
      </c>
      <c r="G140" t="s">
        <v>202</v>
      </c>
      <c r="H140" t="s">
        <v>30</v>
      </c>
      <c r="I140" t="str">
        <f t="shared" si="20"/>
        <v>Data Analyst</v>
      </c>
      <c r="J140" t="s">
        <v>31</v>
      </c>
      <c r="K140" t="s">
        <v>53</v>
      </c>
      <c r="L140">
        <f t="shared" si="21"/>
        <v>20</v>
      </c>
      <c r="M140" t="s">
        <v>45</v>
      </c>
      <c r="N140" t="str">
        <f t="shared" si="22"/>
        <v>Finance</v>
      </c>
      <c r="O140" t="s">
        <v>257</v>
      </c>
      <c r="P140" t="str">
        <f t="shared" si="23"/>
        <v>C/C++</v>
      </c>
      <c r="Q140">
        <v>5</v>
      </c>
      <c r="R140">
        <v>2</v>
      </c>
      <c r="S140">
        <v>4</v>
      </c>
      <c r="T140">
        <v>3</v>
      </c>
      <c r="U140">
        <v>3</v>
      </c>
      <c r="V140">
        <v>3</v>
      </c>
      <c r="W140" t="s">
        <v>69</v>
      </c>
      <c r="X140" t="s">
        <v>56</v>
      </c>
      <c r="Y140" t="s">
        <v>65</v>
      </c>
      <c r="Z140">
        <v>25</v>
      </c>
      <c r="AA140" t="s">
        <v>247</v>
      </c>
      <c r="AB140" t="str">
        <f t="shared" si="24"/>
        <v>Other</v>
      </c>
      <c r="AC140" t="s">
        <v>237</v>
      </c>
      <c r="AD140" t="str">
        <f t="shared" si="25"/>
        <v>Bachelors</v>
      </c>
      <c r="AE140" t="s">
        <v>58</v>
      </c>
      <c r="AF140" t="str">
        <f t="shared" si="26"/>
        <v>Black or African American</v>
      </c>
    </row>
    <row r="141" spans="1:32" x14ac:dyDescent="0.45">
      <c r="A141" t="s">
        <v>498</v>
      </c>
      <c r="B141" t="s">
        <v>25</v>
      </c>
      <c r="C141" s="3" t="s">
        <v>26</v>
      </c>
      <c r="D141" s="3">
        <f t="shared" si="18"/>
        <v>44840</v>
      </c>
      <c r="E141" t="s">
        <v>499</v>
      </c>
      <c r="F141" s="4">
        <f t="shared" si="19"/>
        <v>0.42499999999999999</v>
      </c>
      <c r="G141" t="s">
        <v>265</v>
      </c>
      <c r="H141" t="s">
        <v>30</v>
      </c>
      <c r="I141" t="str">
        <f t="shared" si="20"/>
        <v>Data Analyst</v>
      </c>
      <c r="J141" t="s">
        <v>31</v>
      </c>
      <c r="K141" t="s">
        <v>53</v>
      </c>
      <c r="L141">
        <f t="shared" si="21"/>
        <v>20</v>
      </c>
      <c r="M141" t="s">
        <v>33</v>
      </c>
      <c r="N141" t="str">
        <f t="shared" si="22"/>
        <v>Healthcare</v>
      </c>
      <c r="O141" t="s">
        <v>34</v>
      </c>
      <c r="P141" t="str">
        <f t="shared" si="23"/>
        <v>Python</v>
      </c>
      <c r="Q141">
        <v>2</v>
      </c>
      <c r="R141">
        <v>6</v>
      </c>
      <c r="S141">
        <v>6</v>
      </c>
      <c r="T141">
        <v>5</v>
      </c>
      <c r="U141">
        <v>4</v>
      </c>
      <c r="V141">
        <v>5</v>
      </c>
      <c r="W141" t="s">
        <v>55</v>
      </c>
      <c r="X141" t="s">
        <v>70</v>
      </c>
      <c r="Y141" t="s">
        <v>65</v>
      </c>
      <c r="Z141">
        <v>26</v>
      </c>
      <c r="AA141" t="s">
        <v>500</v>
      </c>
      <c r="AB141" t="str">
        <f t="shared" si="24"/>
        <v>Other</v>
      </c>
      <c r="AC141" t="s">
        <v>237</v>
      </c>
      <c r="AD141" t="str">
        <f t="shared" si="25"/>
        <v>Bachelors</v>
      </c>
      <c r="AE141" t="s">
        <v>39</v>
      </c>
      <c r="AF141" t="str">
        <f t="shared" si="26"/>
        <v>White or Caucasian</v>
      </c>
    </row>
    <row r="142" spans="1:32" x14ac:dyDescent="0.45">
      <c r="A142" t="s">
        <v>501</v>
      </c>
      <c r="B142" t="s">
        <v>25</v>
      </c>
      <c r="C142" s="3" t="s">
        <v>26</v>
      </c>
      <c r="D142" s="3">
        <f t="shared" si="18"/>
        <v>44840</v>
      </c>
      <c r="E142" t="s">
        <v>502</v>
      </c>
      <c r="F142" s="4">
        <f t="shared" si="19"/>
        <v>0.42569444444444443</v>
      </c>
      <c r="G142" t="s">
        <v>297</v>
      </c>
      <c r="H142" t="s">
        <v>30</v>
      </c>
      <c r="I142" t="str">
        <f t="shared" si="20"/>
        <v>Data Analyst</v>
      </c>
      <c r="J142" t="s">
        <v>31</v>
      </c>
      <c r="K142" t="s">
        <v>94</v>
      </c>
      <c r="L142">
        <f t="shared" si="21"/>
        <v>75.5</v>
      </c>
      <c r="M142" t="s">
        <v>33</v>
      </c>
      <c r="N142" t="str">
        <f t="shared" si="22"/>
        <v>Healthcare</v>
      </c>
      <c r="O142" t="s">
        <v>84</v>
      </c>
      <c r="P142" t="str">
        <f t="shared" si="23"/>
        <v>Other</v>
      </c>
      <c r="Q142">
        <v>7</v>
      </c>
      <c r="R142">
        <v>8</v>
      </c>
      <c r="S142">
        <v>8</v>
      </c>
      <c r="T142">
        <v>8</v>
      </c>
      <c r="U142">
        <v>8</v>
      </c>
      <c r="V142">
        <v>7</v>
      </c>
      <c r="W142" t="s">
        <v>64</v>
      </c>
      <c r="X142" t="s">
        <v>70</v>
      </c>
      <c r="Y142" t="s">
        <v>37</v>
      </c>
      <c r="Z142">
        <v>30</v>
      </c>
      <c r="AA142" t="s">
        <v>38</v>
      </c>
      <c r="AB142" t="str">
        <f t="shared" si="24"/>
        <v>United States</v>
      </c>
      <c r="AC142" t="s">
        <v>237</v>
      </c>
      <c r="AD142" t="str">
        <f t="shared" si="25"/>
        <v>Bachelors</v>
      </c>
      <c r="AE142" t="s">
        <v>39</v>
      </c>
      <c r="AF142" t="str">
        <f t="shared" si="26"/>
        <v>White or Caucasian</v>
      </c>
    </row>
    <row r="143" spans="1:32" x14ac:dyDescent="0.45">
      <c r="A143" t="s">
        <v>503</v>
      </c>
      <c r="B143" t="s">
        <v>25</v>
      </c>
      <c r="C143" s="3" t="s">
        <v>26</v>
      </c>
      <c r="D143" s="3">
        <f t="shared" si="18"/>
        <v>44840</v>
      </c>
      <c r="E143" t="s">
        <v>502</v>
      </c>
      <c r="F143" s="4">
        <f t="shared" si="19"/>
        <v>0.42569444444444443</v>
      </c>
      <c r="G143" t="s">
        <v>504</v>
      </c>
      <c r="H143" t="s">
        <v>30</v>
      </c>
      <c r="I143" t="str">
        <f t="shared" si="20"/>
        <v>Data Analyst</v>
      </c>
      <c r="J143" t="s">
        <v>31</v>
      </c>
      <c r="K143" t="s">
        <v>94</v>
      </c>
      <c r="L143">
        <f t="shared" si="21"/>
        <v>75.5</v>
      </c>
      <c r="M143" t="s">
        <v>103</v>
      </c>
      <c r="N143" t="str">
        <f t="shared" si="22"/>
        <v>Tech</v>
      </c>
      <c r="O143" t="s">
        <v>34</v>
      </c>
      <c r="P143" t="str">
        <f t="shared" si="23"/>
        <v>Python</v>
      </c>
      <c r="Q143">
        <v>9</v>
      </c>
      <c r="R143">
        <v>10</v>
      </c>
      <c r="S143">
        <v>10</v>
      </c>
      <c r="T143">
        <v>10</v>
      </c>
      <c r="U143">
        <v>7</v>
      </c>
      <c r="V143">
        <v>9</v>
      </c>
      <c r="W143" t="s">
        <v>85</v>
      </c>
      <c r="X143" t="s">
        <v>70</v>
      </c>
      <c r="Y143" t="s">
        <v>65</v>
      </c>
      <c r="Z143">
        <v>39</v>
      </c>
      <c r="AA143" t="s">
        <v>38</v>
      </c>
      <c r="AB143" t="str">
        <f t="shared" si="24"/>
        <v>United States</v>
      </c>
      <c r="AC143" t="s">
        <v>237</v>
      </c>
      <c r="AD143" t="str">
        <f t="shared" si="25"/>
        <v>Bachelors</v>
      </c>
      <c r="AE143" t="s">
        <v>58</v>
      </c>
      <c r="AF143" t="str">
        <f t="shared" si="26"/>
        <v>Black or African American</v>
      </c>
    </row>
    <row r="144" spans="1:32" x14ac:dyDescent="0.45">
      <c r="A144" t="s">
        <v>505</v>
      </c>
      <c r="B144" t="s">
        <v>25</v>
      </c>
      <c r="C144" s="3" t="s">
        <v>26</v>
      </c>
      <c r="D144" s="3">
        <f t="shared" si="18"/>
        <v>44840</v>
      </c>
      <c r="E144" t="s">
        <v>506</v>
      </c>
      <c r="F144" s="4">
        <f t="shared" si="19"/>
        <v>0.42777777777777776</v>
      </c>
      <c r="G144" t="s">
        <v>507</v>
      </c>
      <c r="H144" t="s">
        <v>508</v>
      </c>
      <c r="I144" t="str">
        <f t="shared" si="20"/>
        <v>Other</v>
      </c>
      <c r="J144" t="s">
        <v>43</v>
      </c>
      <c r="K144" t="s">
        <v>53</v>
      </c>
      <c r="L144">
        <f t="shared" si="21"/>
        <v>20</v>
      </c>
      <c r="M144" t="s">
        <v>108</v>
      </c>
      <c r="N144" t="str">
        <f t="shared" si="22"/>
        <v>Education</v>
      </c>
      <c r="O144" t="s">
        <v>34</v>
      </c>
      <c r="P144" t="str">
        <f t="shared" si="23"/>
        <v>Python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2</v>
      </c>
      <c r="W144" t="s">
        <v>55</v>
      </c>
      <c r="X144" t="s">
        <v>56</v>
      </c>
      <c r="Y144" t="s">
        <v>65</v>
      </c>
      <c r="Z144">
        <v>28</v>
      </c>
      <c r="AA144" t="s">
        <v>147</v>
      </c>
      <c r="AB144" t="str">
        <f t="shared" si="24"/>
        <v>India</v>
      </c>
      <c r="AC144" t="s">
        <v>240</v>
      </c>
      <c r="AD144" t="str">
        <f t="shared" si="25"/>
        <v>Masters</v>
      </c>
      <c r="AE144" t="s">
        <v>48</v>
      </c>
      <c r="AF144" t="str">
        <f t="shared" si="26"/>
        <v>Asian or Asian American</v>
      </c>
    </row>
    <row r="145" spans="1:32" x14ac:dyDescent="0.45">
      <c r="A145" t="s">
        <v>509</v>
      </c>
      <c r="B145" t="s">
        <v>25</v>
      </c>
      <c r="C145" s="3" t="s">
        <v>26</v>
      </c>
      <c r="D145" s="3">
        <f t="shared" si="18"/>
        <v>44840</v>
      </c>
      <c r="E145" t="s">
        <v>510</v>
      </c>
      <c r="F145" s="4">
        <f t="shared" si="19"/>
        <v>0.42916666666666664</v>
      </c>
      <c r="G145" t="s">
        <v>269</v>
      </c>
      <c r="H145" t="s">
        <v>30</v>
      </c>
      <c r="I145" t="str">
        <f t="shared" si="20"/>
        <v>Data Analyst</v>
      </c>
      <c r="J145" t="s">
        <v>31</v>
      </c>
      <c r="K145" t="s">
        <v>94</v>
      </c>
      <c r="L145">
        <f t="shared" si="21"/>
        <v>75.5</v>
      </c>
      <c r="M145" t="s">
        <v>45</v>
      </c>
      <c r="N145" t="str">
        <f t="shared" si="22"/>
        <v>Finance</v>
      </c>
      <c r="O145" t="s">
        <v>84</v>
      </c>
      <c r="P145" t="str">
        <f t="shared" si="23"/>
        <v>Other</v>
      </c>
      <c r="Q145">
        <v>8</v>
      </c>
      <c r="R145">
        <v>8</v>
      </c>
      <c r="S145">
        <v>7</v>
      </c>
      <c r="T145">
        <v>7</v>
      </c>
      <c r="U145">
        <v>10</v>
      </c>
      <c r="V145">
        <v>10</v>
      </c>
      <c r="W145" t="s">
        <v>64</v>
      </c>
      <c r="X145" t="s">
        <v>56</v>
      </c>
      <c r="Y145" t="s">
        <v>37</v>
      </c>
      <c r="Z145">
        <v>22</v>
      </c>
      <c r="AA145" t="s">
        <v>38</v>
      </c>
      <c r="AB145" t="str">
        <f t="shared" si="24"/>
        <v>United States</v>
      </c>
      <c r="AC145" t="s">
        <v>237</v>
      </c>
      <c r="AD145" t="str">
        <f t="shared" si="25"/>
        <v>Bachelors</v>
      </c>
      <c r="AE145" t="s">
        <v>511</v>
      </c>
      <c r="AF145" t="str">
        <f t="shared" si="26"/>
        <v>Other</v>
      </c>
    </row>
    <row r="146" spans="1:32" x14ac:dyDescent="0.45">
      <c r="A146" t="s">
        <v>512</v>
      </c>
      <c r="B146" t="s">
        <v>25</v>
      </c>
      <c r="C146" s="3" t="s">
        <v>26</v>
      </c>
      <c r="D146" s="3">
        <f t="shared" si="18"/>
        <v>44840</v>
      </c>
      <c r="E146" t="s">
        <v>513</v>
      </c>
      <c r="F146" s="4">
        <f t="shared" si="19"/>
        <v>0.42986111111111114</v>
      </c>
      <c r="G146" t="s">
        <v>514</v>
      </c>
      <c r="H146" t="s">
        <v>30</v>
      </c>
      <c r="I146" t="str">
        <f t="shared" si="20"/>
        <v>Data Analyst</v>
      </c>
      <c r="J146" t="s">
        <v>31</v>
      </c>
      <c r="K146" t="s">
        <v>53</v>
      </c>
      <c r="L146">
        <f t="shared" si="21"/>
        <v>20</v>
      </c>
      <c r="M146" t="s">
        <v>90</v>
      </c>
      <c r="N146" t="str">
        <f t="shared" si="22"/>
        <v>Telecommunication</v>
      </c>
      <c r="O146" t="s">
        <v>34</v>
      </c>
      <c r="P146" t="str">
        <f t="shared" si="23"/>
        <v>Python</v>
      </c>
      <c r="Q146">
        <v>3</v>
      </c>
      <c r="R146">
        <v>2</v>
      </c>
      <c r="S146">
        <v>4</v>
      </c>
      <c r="T146">
        <v>2</v>
      </c>
      <c r="U146">
        <v>2</v>
      </c>
      <c r="V146">
        <v>2</v>
      </c>
      <c r="W146" t="s">
        <v>85</v>
      </c>
      <c r="X146" t="s">
        <v>114</v>
      </c>
      <c r="Y146" t="s">
        <v>37</v>
      </c>
      <c r="Z146">
        <v>28</v>
      </c>
      <c r="AA146" t="s">
        <v>515</v>
      </c>
      <c r="AB146" t="str">
        <f t="shared" si="24"/>
        <v>Other</v>
      </c>
      <c r="AC146" t="s">
        <v>237</v>
      </c>
      <c r="AD146" t="str">
        <f t="shared" si="25"/>
        <v>Bachelors</v>
      </c>
      <c r="AE146" t="s">
        <v>58</v>
      </c>
      <c r="AF146" t="str">
        <f t="shared" si="26"/>
        <v>Black or African American</v>
      </c>
    </row>
    <row r="147" spans="1:32" x14ac:dyDescent="0.45">
      <c r="A147" t="s">
        <v>516</v>
      </c>
      <c r="B147" t="s">
        <v>25</v>
      </c>
      <c r="C147" s="3" t="s">
        <v>26</v>
      </c>
      <c r="D147" s="3">
        <f t="shared" si="18"/>
        <v>44840</v>
      </c>
      <c r="E147" t="s">
        <v>517</v>
      </c>
      <c r="F147" s="4">
        <f t="shared" si="19"/>
        <v>0.43055555555555558</v>
      </c>
      <c r="G147" t="s">
        <v>250</v>
      </c>
      <c r="H147" t="s">
        <v>518</v>
      </c>
      <c r="I147" t="str">
        <f t="shared" si="20"/>
        <v>Other</v>
      </c>
      <c r="J147" t="s">
        <v>43</v>
      </c>
      <c r="K147" t="s">
        <v>63</v>
      </c>
      <c r="L147">
        <f t="shared" si="21"/>
        <v>187.5</v>
      </c>
      <c r="M147" t="s">
        <v>103</v>
      </c>
      <c r="N147" t="str">
        <f t="shared" si="22"/>
        <v>Tech</v>
      </c>
      <c r="O147" t="s">
        <v>46</v>
      </c>
      <c r="P147" t="str">
        <f t="shared" si="23"/>
        <v>R</v>
      </c>
      <c r="Q147">
        <v>8</v>
      </c>
      <c r="R147">
        <v>10</v>
      </c>
      <c r="S147">
        <v>9</v>
      </c>
      <c r="T147">
        <v>7</v>
      </c>
      <c r="U147">
        <v>5</v>
      </c>
      <c r="V147">
        <v>5</v>
      </c>
      <c r="W147" t="s">
        <v>85</v>
      </c>
      <c r="X147" t="s">
        <v>36</v>
      </c>
      <c r="Y147" t="s">
        <v>37</v>
      </c>
      <c r="Z147">
        <v>33</v>
      </c>
      <c r="AA147" t="s">
        <v>38</v>
      </c>
      <c r="AB147" t="str">
        <f t="shared" si="24"/>
        <v>United States</v>
      </c>
      <c r="AC147" t="s">
        <v>240</v>
      </c>
      <c r="AD147" t="str">
        <f t="shared" si="25"/>
        <v>Masters</v>
      </c>
      <c r="AE147" t="s">
        <v>39</v>
      </c>
      <c r="AF147" t="str">
        <f t="shared" si="26"/>
        <v>White or Caucasian</v>
      </c>
    </row>
    <row r="148" spans="1:32" x14ac:dyDescent="0.45">
      <c r="A148" t="s">
        <v>519</v>
      </c>
      <c r="B148" t="s">
        <v>25</v>
      </c>
      <c r="C148" s="3" t="s">
        <v>26</v>
      </c>
      <c r="D148" s="3">
        <f t="shared" si="18"/>
        <v>44840</v>
      </c>
      <c r="E148" t="s">
        <v>520</v>
      </c>
      <c r="F148" s="4">
        <f t="shared" si="19"/>
        <v>0.43125000000000002</v>
      </c>
      <c r="G148" t="s">
        <v>521</v>
      </c>
      <c r="H148" t="s">
        <v>30</v>
      </c>
      <c r="I148" t="str">
        <f t="shared" si="20"/>
        <v>Data Analyst</v>
      </c>
      <c r="J148" t="s">
        <v>31</v>
      </c>
      <c r="K148" t="s">
        <v>53</v>
      </c>
      <c r="L148">
        <f t="shared" si="21"/>
        <v>20</v>
      </c>
      <c r="M148" t="s">
        <v>45</v>
      </c>
      <c r="N148" t="str">
        <f t="shared" si="22"/>
        <v>Finance</v>
      </c>
      <c r="O148" t="s">
        <v>522</v>
      </c>
      <c r="P148" t="str">
        <f t="shared" si="23"/>
        <v>Other</v>
      </c>
      <c r="Q148">
        <v>2</v>
      </c>
      <c r="R148">
        <v>3</v>
      </c>
      <c r="S148">
        <v>3</v>
      </c>
      <c r="T148">
        <v>3</v>
      </c>
      <c r="U148">
        <v>2</v>
      </c>
      <c r="V148">
        <v>4</v>
      </c>
      <c r="W148" t="s">
        <v>85</v>
      </c>
      <c r="X148" t="s">
        <v>56</v>
      </c>
      <c r="Y148" t="s">
        <v>65</v>
      </c>
      <c r="Z148">
        <v>22</v>
      </c>
      <c r="AA148" t="s">
        <v>523</v>
      </c>
      <c r="AB148" t="str">
        <f t="shared" si="24"/>
        <v>Other</v>
      </c>
      <c r="AC148" t="s">
        <v>237</v>
      </c>
      <c r="AD148" t="str">
        <f t="shared" si="25"/>
        <v>Bachelors</v>
      </c>
      <c r="AE148" t="s">
        <v>524</v>
      </c>
      <c r="AF148" t="str">
        <f t="shared" si="26"/>
        <v>Other</v>
      </c>
    </row>
    <row r="149" spans="1:32" x14ac:dyDescent="0.45">
      <c r="A149" t="s">
        <v>525</v>
      </c>
      <c r="B149" t="s">
        <v>25</v>
      </c>
      <c r="C149" s="3" t="s">
        <v>26</v>
      </c>
      <c r="D149" s="3">
        <f t="shared" si="18"/>
        <v>44840</v>
      </c>
      <c r="E149" t="s">
        <v>526</v>
      </c>
      <c r="F149" s="4">
        <f t="shared" si="19"/>
        <v>0.43263888888888891</v>
      </c>
      <c r="G149" t="s">
        <v>527</v>
      </c>
      <c r="H149" t="s">
        <v>123</v>
      </c>
      <c r="I149" t="str">
        <f t="shared" si="20"/>
        <v>None</v>
      </c>
      <c r="J149" t="s">
        <v>43</v>
      </c>
      <c r="K149" t="s">
        <v>53</v>
      </c>
      <c r="L149">
        <f t="shared" si="21"/>
        <v>20</v>
      </c>
      <c r="M149" t="s">
        <v>103</v>
      </c>
      <c r="N149" t="str">
        <f t="shared" si="22"/>
        <v>Tech</v>
      </c>
      <c r="O149" t="s">
        <v>34</v>
      </c>
      <c r="P149" t="str">
        <f t="shared" si="23"/>
        <v>Python</v>
      </c>
      <c r="Q149">
        <v>3</v>
      </c>
      <c r="R149">
        <v>5</v>
      </c>
      <c r="S149">
        <v>5</v>
      </c>
      <c r="T149">
        <v>4</v>
      </c>
      <c r="U149">
        <v>4</v>
      </c>
      <c r="V149">
        <v>5</v>
      </c>
      <c r="W149" t="s">
        <v>85</v>
      </c>
      <c r="X149" t="s">
        <v>70</v>
      </c>
      <c r="Y149" t="s">
        <v>37</v>
      </c>
      <c r="Z149">
        <v>27</v>
      </c>
      <c r="AA149" t="s">
        <v>147</v>
      </c>
      <c r="AB149" t="str">
        <f t="shared" si="24"/>
        <v>India</v>
      </c>
      <c r="AC149" t="s">
        <v>237</v>
      </c>
      <c r="AD149" t="str">
        <f t="shared" si="25"/>
        <v>Bachelors</v>
      </c>
      <c r="AE149" t="s">
        <v>528</v>
      </c>
      <c r="AF149" t="str">
        <f t="shared" si="26"/>
        <v>Other</v>
      </c>
    </row>
    <row r="150" spans="1:32" x14ac:dyDescent="0.45">
      <c r="A150" t="s">
        <v>529</v>
      </c>
      <c r="B150" t="s">
        <v>25</v>
      </c>
      <c r="C150" s="3" t="s">
        <v>26</v>
      </c>
      <c r="D150" s="3">
        <f t="shared" si="18"/>
        <v>44840</v>
      </c>
      <c r="E150" t="s">
        <v>530</v>
      </c>
      <c r="F150" s="4">
        <f t="shared" si="19"/>
        <v>0.43402777777777779</v>
      </c>
      <c r="G150" t="s">
        <v>531</v>
      </c>
      <c r="H150" t="s">
        <v>30</v>
      </c>
      <c r="I150" t="str">
        <f t="shared" si="20"/>
        <v>Data Analyst</v>
      </c>
      <c r="J150" t="s">
        <v>31</v>
      </c>
      <c r="K150" t="s">
        <v>32</v>
      </c>
      <c r="L150">
        <f t="shared" si="21"/>
        <v>115.5</v>
      </c>
      <c r="M150" t="s">
        <v>532</v>
      </c>
      <c r="N150" t="str">
        <f t="shared" si="22"/>
        <v>Other</v>
      </c>
      <c r="O150" t="s">
        <v>533</v>
      </c>
      <c r="P150" t="str">
        <f t="shared" si="23"/>
        <v>Other</v>
      </c>
      <c r="Q150">
        <v>8</v>
      </c>
      <c r="R150">
        <v>8</v>
      </c>
      <c r="S150">
        <v>8</v>
      </c>
      <c r="T150">
        <v>8</v>
      </c>
      <c r="U150">
        <v>10</v>
      </c>
      <c r="V150">
        <v>10</v>
      </c>
      <c r="W150" t="s">
        <v>55</v>
      </c>
      <c r="X150" t="s">
        <v>56</v>
      </c>
      <c r="Y150" t="s">
        <v>37</v>
      </c>
      <c r="Z150">
        <v>37</v>
      </c>
      <c r="AA150" t="s">
        <v>38</v>
      </c>
      <c r="AB150" t="str">
        <f t="shared" si="24"/>
        <v>United States</v>
      </c>
      <c r="AC150" t="s">
        <v>237</v>
      </c>
      <c r="AD150" t="str">
        <f t="shared" si="25"/>
        <v>Bachelors</v>
      </c>
      <c r="AE150" t="s">
        <v>534</v>
      </c>
      <c r="AF150" t="str">
        <f t="shared" si="26"/>
        <v>Other</v>
      </c>
    </row>
    <row r="151" spans="1:32" x14ac:dyDescent="0.45">
      <c r="A151" t="s">
        <v>535</v>
      </c>
      <c r="B151" t="s">
        <v>25</v>
      </c>
      <c r="C151" s="3" t="s">
        <v>26</v>
      </c>
      <c r="D151" s="3">
        <f t="shared" si="18"/>
        <v>44840</v>
      </c>
      <c r="E151" t="s">
        <v>530</v>
      </c>
      <c r="F151" s="4">
        <f t="shared" si="19"/>
        <v>0.43402777777777779</v>
      </c>
      <c r="G151" t="s">
        <v>536</v>
      </c>
      <c r="H151" t="s">
        <v>266</v>
      </c>
      <c r="I151" t="str">
        <f t="shared" si="20"/>
        <v>Other</v>
      </c>
      <c r="J151" t="s">
        <v>43</v>
      </c>
      <c r="K151" t="s">
        <v>44</v>
      </c>
      <c r="L151">
        <f t="shared" si="21"/>
        <v>53</v>
      </c>
      <c r="M151" t="s">
        <v>537</v>
      </c>
      <c r="N151" t="str">
        <f t="shared" si="22"/>
        <v>Other</v>
      </c>
      <c r="O151" t="s">
        <v>46</v>
      </c>
      <c r="P151" t="str">
        <f t="shared" si="23"/>
        <v>R</v>
      </c>
      <c r="Q151">
        <v>3</v>
      </c>
      <c r="R151">
        <v>4</v>
      </c>
      <c r="S151">
        <v>5</v>
      </c>
      <c r="T151">
        <v>5</v>
      </c>
      <c r="U151">
        <v>4</v>
      </c>
      <c r="V151">
        <v>3</v>
      </c>
      <c r="W151" t="s">
        <v>69</v>
      </c>
      <c r="X151" t="s">
        <v>70</v>
      </c>
      <c r="Y151" t="s">
        <v>37</v>
      </c>
      <c r="Z151">
        <v>24</v>
      </c>
      <c r="AA151" t="s">
        <v>38</v>
      </c>
      <c r="AB151" t="str">
        <f t="shared" si="24"/>
        <v>United States</v>
      </c>
      <c r="AC151" t="s">
        <v>240</v>
      </c>
      <c r="AD151" t="str">
        <f t="shared" si="25"/>
        <v>Masters</v>
      </c>
      <c r="AE151" t="s">
        <v>39</v>
      </c>
      <c r="AF151" t="str">
        <f t="shared" si="26"/>
        <v>White or Caucasian</v>
      </c>
    </row>
    <row r="152" spans="1:32" x14ac:dyDescent="0.45">
      <c r="A152" t="s">
        <v>538</v>
      </c>
      <c r="B152" t="s">
        <v>25</v>
      </c>
      <c r="C152" s="3" t="s">
        <v>26</v>
      </c>
      <c r="D152" s="3">
        <f t="shared" si="18"/>
        <v>44840</v>
      </c>
      <c r="E152" t="s">
        <v>539</v>
      </c>
      <c r="F152" s="4">
        <f t="shared" si="19"/>
        <v>0.43541666666666667</v>
      </c>
      <c r="G152" t="s">
        <v>154</v>
      </c>
      <c r="H152" t="s">
        <v>30</v>
      </c>
      <c r="I152" t="str">
        <f t="shared" si="20"/>
        <v>Data Analyst</v>
      </c>
      <c r="J152" t="s">
        <v>43</v>
      </c>
      <c r="K152" t="s">
        <v>44</v>
      </c>
      <c r="L152">
        <f t="shared" si="21"/>
        <v>53</v>
      </c>
      <c r="M152" t="s">
        <v>33</v>
      </c>
      <c r="N152" t="str">
        <f t="shared" si="22"/>
        <v>Healthcare</v>
      </c>
      <c r="O152" t="s">
        <v>46</v>
      </c>
      <c r="P152" t="str">
        <f t="shared" si="23"/>
        <v>R</v>
      </c>
      <c r="Q152">
        <v>1</v>
      </c>
      <c r="R152">
        <v>4</v>
      </c>
      <c r="S152">
        <v>3</v>
      </c>
      <c r="T152">
        <v>2</v>
      </c>
      <c r="U152">
        <v>0</v>
      </c>
      <c r="V152">
        <v>6</v>
      </c>
      <c r="W152" t="s">
        <v>69</v>
      </c>
      <c r="X152" t="s">
        <v>70</v>
      </c>
      <c r="Y152" t="s">
        <v>37</v>
      </c>
      <c r="Z152">
        <v>25</v>
      </c>
      <c r="AA152" t="s">
        <v>109</v>
      </c>
      <c r="AB152" t="str">
        <f t="shared" si="24"/>
        <v>United Kingdom</v>
      </c>
      <c r="AC152" t="s">
        <v>240</v>
      </c>
      <c r="AD152" t="str">
        <f t="shared" si="25"/>
        <v>Masters</v>
      </c>
      <c r="AE152" t="s">
        <v>48</v>
      </c>
      <c r="AF152" t="str">
        <f t="shared" si="26"/>
        <v>Asian or Asian American</v>
      </c>
    </row>
    <row r="153" spans="1:32" x14ac:dyDescent="0.45">
      <c r="A153" t="s">
        <v>540</v>
      </c>
      <c r="B153" t="s">
        <v>25</v>
      </c>
      <c r="C153" s="3" t="s">
        <v>26</v>
      </c>
      <c r="D153" s="3">
        <f t="shared" si="18"/>
        <v>44840</v>
      </c>
      <c r="E153" t="s">
        <v>539</v>
      </c>
      <c r="F153" s="4">
        <f t="shared" si="19"/>
        <v>0.43541666666666667</v>
      </c>
      <c r="G153" t="s">
        <v>112</v>
      </c>
      <c r="H153" t="s">
        <v>52</v>
      </c>
      <c r="I153" t="str">
        <f t="shared" si="20"/>
        <v>Data Engineer</v>
      </c>
      <c r="J153" t="s">
        <v>43</v>
      </c>
      <c r="K153" t="s">
        <v>87</v>
      </c>
      <c r="L153">
        <f t="shared" si="21"/>
        <v>95.5</v>
      </c>
      <c r="M153" t="s">
        <v>33</v>
      </c>
      <c r="N153" t="str">
        <f t="shared" si="22"/>
        <v>Healthcare</v>
      </c>
      <c r="O153" t="s">
        <v>46</v>
      </c>
      <c r="P153" t="str">
        <f t="shared" si="23"/>
        <v>R</v>
      </c>
      <c r="Q153">
        <v>8</v>
      </c>
      <c r="R153">
        <v>10</v>
      </c>
      <c r="S153">
        <v>8</v>
      </c>
      <c r="T153">
        <v>8</v>
      </c>
      <c r="U153">
        <v>9</v>
      </c>
      <c r="V153">
        <v>10</v>
      </c>
      <c r="W153" t="s">
        <v>85</v>
      </c>
      <c r="X153" t="s">
        <v>114</v>
      </c>
      <c r="Y153" t="s">
        <v>37</v>
      </c>
      <c r="Z153">
        <v>28</v>
      </c>
      <c r="AA153" t="s">
        <v>38</v>
      </c>
      <c r="AB153" t="str">
        <f t="shared" si="24"/>
        <v>United States</v>
      </c>
      <c r="AC153" t="s">
        <v>240</v>
      </c>
      <c r="AD153" t="str">
        <f t="shared" si="25"/>
        <v>Masters</v>
      </c>
      <c r="AE153" t="s">
        <v>58</v>
      </c>
      <c r="AF153" t="str">
        <f t="shared" si="26"/>
        <v>Black or African American</v>
      </c>
    </row>
    <row r="154" spans="1:32" x14ac:dyDescent="0.45">
      <c r="A154" t="s">
        <v>541</v>
      </c>
      <c r="B154" t="s">
        <v>25</v>
      </c>
      <c r="C154" s="3" t="s">
        <v>26</v>
      </c>
      <c r="D154" s="3">
        <f t="shared" si="18"/>
        <v>44840</v>
      </c>
      <c r="E154" t="s">
        <v>542</v>
      </c>
      <c r="F154" s="4">
        <f t="shared" si="19"/>
        <v>0.43680555555555556</v>
      </c>
      <c r="G154" t="s">
        <v>150</v>
      </c>
      <c r="H154" t="s">
        <v>30</v>
      </c>
      <c r="I154" t="str">
        <f t="shared" si="20"/>
        <v>Data Analyst</v>
      </c>
      <c r="J154" t="s">
        <v>31</v>
      </c>
      <c r="K154" t="s">
        <v>44</v>
      </c>
      <c r="L154">
        <f t="shared" si="21"/>
        <v>53</v>
      </c>
      <c r="M154" t="s">
        <v>543</v>
      </c>
      <c r="N154" t="str">
        <f t="shared" si="22"/>
        <v>Other</v>
      </c>
      <c r="O154" t="s">
        <v>34</v>
      </c>
      <c r="P154" t="str">
        <f t="shared" si="23"/>
        <v>Python</v>
      </c>
      <c r="Q154">
        <v>5</v>
      </c>
      <c r="R154">
        <v>5</v>
      </c>
      <c r="S154">
        <v>7</v>
      </c>
      <c r="T154">
        <v>7</v>
      </c>
      <c r="U154">
        <v>7</v>
      </c>
      <c r="V154">
        <v>7</v>
      </c>
      <c r="W154" t="s">
        <v>55</v>
      </c>
      <c r="X154" t="s">
        <v>70</v>
      </c>
      <c r="Y154" t="s">
        <v>37</v>
      </c>
      <c r="Z154">
        <v>32</v>
      </c>
      <c r="AA154" t="s">
        <v>109</v>
      </c>
      <c r="AB154" t="str">
        <f t="shared" si="24"/>
        <v>United Kingdom</v>
      </c>
      <c r="AC154" t="s">
        <v>237</v>
      </c>
      <c r="AD154" t="str">
        <f t="shared" si="25"/>
        <v>Bachelors</v>
      </c>
      <c r="AE154" t="s">
        <v>39</v>
      </c>
      <c r="AF154" t="str">
        <f t="shared" si="26"/>
        <v>White or Caucasian</v>
      </c>
    </row>
    <row r="155" spans="1:32" x14ac:dyDescent="0.45">
      <c r="A155" t="s">
        <v>544</v>
      </c>
      <c r="B155" t="s">
        <v>25</v>
      </c>
      <c r="C155" s="3" t="s">
        <v>26</v>
      </c>
      <c r="D155" s="3">
        <f t="shared" si="18"/>
        <v>44840</v>
      </c>
      <c r="E155" t="s">
        <v>542</v>
      </c>
      <c r="F155" s="4">
        <f t="shared" si="19"/>
        <v>0.43680555555555556</v>
      </c>
      <c r="G155" t="s">
        <v>157</v>
      </c>
      <c r="H155" t="s">
        <v>30</v>
      </c>
      <c r="I155" t="str">
        <f t="shared" si="20"/>
        <v>Data Analyst</v>
      </c>
      <c r="J155" t="s">
        <v>31</v>
      </c>
      <c r="K155" t="s">
        <v>44</v>
      </c>
      <c r="L155">
        <f t="shared" si="21"/>
        <v>53</v>
      </c>
      <c r="M155" t="s">
        <v>545</v>
      </c>
      <c r="N155" t="str">
        <f t="shared" si="22"/>
        <v>Other</v>
      </c>
      <c r="O155" t="s">
        <v>34</v>
      </c>
      <c r="P155" t="str">
        <f t="shared" si="23"/>
        <v>Python</v>
      </c>
      <c r="Q155">
        <v>0</v>
      </c>
      <c r="R155">
        <v>7</v>
      </c>
      <c r="S155">
        <v>7</v>
      </c>
      <c r="T155">
        <v>7</v>
      </c>
      <c r="U155">
        <v>0</v>
      </c>
      <c r="V155">
        <v>7</v>
      </c>
      <c r="W155" t="s">
        <v>55</v>
      </c>
      <c r="X155" t="s">
        <v>114</v>
      </c>
      <c r="Y155" t="s">
        <v>37</v>
      </c>
      <c r="Z155">
        <v>29</v>
      </c>
      <c r="AA155" t="s">
        <v>38</v>
      </c>
      <c r="AB155" t="str">
        <f t="shared" si="24"/>
        <v>United States</v>
      </c>
      <c r="AC155" t="s">
        <v>237</v>
      </c>
      <c r="AD155" t="str">
        <f t="shared" si="25"/>
        <v>Bachelors</v>
      </c>
      <c r="AE155" t="s">
        <v>48</v>
      </c>
      <c r="AF155" t="str">
        <f t="shared" si="26"/>
        <v>Asian or Asian American</v>
      </c>
    </row>
    <row r="156" spans="1:32" x14ac:dyDescent="0.45">
      <c r="A156" t="s">
        <v>546</v>
      </c>
      <c r="B156" t="s">
        <v>25</v>
      </c>
      <c r="C156" s="3" t="s">
        <v>26</v>
      </c>
      <c r="D156" s="3">
        <f t="shared" si="18"/>
        <v>44840</v>
      </c>
      <c r="E156" t="s">
        <v>547</v>
      </c>
      <c r="F156" s="4">
        <f t="shared" si="19"/>
        <v>0.43958333333333333</v>
      </c>
      <c r="G156" t="s">
        <v>548</v>
      </c>
      <c r="H156" t="s">
        <v>30</v>
      </c>
      <c r="I156" t="str">
        <f t="shared" si="20"/>
        <v>Data Analyst</v>
      </c>
      <c r="J156" t="s">
        <v>43</v>
      </c>
      <c r="K156" t="s">
        <v>44</v>
      </c>
      <c r="L156">
        <f t="shared" si="21"/>
        <v>53</v>
      </c>
      <c r="M156" t="s">
        <v>33</v>
      </c>
      <c r="N156" t="str">
        <f t="shared" si="22"/>
        <v>Healthcare</v>
      </c>
      <c r="O156" t="s">
        <v>46</v>
      </c>
      <c r="P156" t="str">
        <f t="shared" si="23"/>
        <v>R</v>
      </c>
      <c r="Q156">
        <v>7</v>
      </c>
      <c r="R156">
        <v>5</v>
      </c>
      <c r="S156">
        <v>8</v>
      </c>
      <c r="T156">
        <v>6</v>
      </c>
      <c r="U156">
        <v>5</v>
      </c>
      <c r="V156">
        <v>10</v>
      </c>
      <c r="W156" t="s">
        <v>69</v>
      </c>
      <c r="X156" t="s">
        <v>549</v>
      </c>
      <c r="Y156" t="s">
        <v>65</v>
      </c>
      <c r="Z156">
        <v>26</v>
      </c>
      <c r="AA156" t="s">
        <v>199</v>
      </c>
      <c r="AB156" t="str">
        <f t="shared" si="24"/>
        <v>Other</v>
      </c>
      <c r="AC156" t="s">
        <v>240</v>
      </c>
      <c r="AD156" t="str">
        <f t="shared" si="25"/>
        <v>Masters</v>
      </c>
      <c r="AE156" t="s">
        <v>39</v>
      </c>
      <c r="AF156" t="str">
        <f t="shared" si="26"/>
        <v>White or Caucasian</v>
      </c>
    </row>
    <row r="157" spans="1:32" x14ac:dyDescent="0.45">
      <c r="A157" t="s">
        <v>550</v>
      </c>
      <c r="B157" t="s">
        <v>25</v>
      </c>
      <c r="C157" s="3" t="s">
        <v>26</v>
      </c>
      <c r="D157" s="3">
        <f t="shared" si="18"/>
        <v>44840</v>
      </c>
      <c r="E157" t="s">
        <v>551</v>
      </c>
      <c r="F157" s="4">
        <f t="shared" si="19"/>
        <v>0.44236111111111109</v>
      </c>
      <c r="G157" t="s">
        <v>552</v>
      </c>
      <c r="H157" t="s">
        <v>52</v>
      </c>
      <c r="I157" t="str">
        <f t="shared" si="20"/>
        <v>Data Engineer</v>
      </c>
      <c r="J157" t="s">
        <v>31</v>
      </c>
      <c r="K157" t="s">
        <v>44</v>
      </c>
      <c r="L157">
        <f t="shared" si="21"/>
        <v>53</v>
      </c>
      <c r="M157" t="s">
        <v>103</v>
      </c>
      <c r="N157" t="str">
        <f t="shared" si="22"/>
        <v>Tech</v>
      </c>
      <c r="O157" t="s">
        <v>34</v>
      </c>
      <c r="P157" t="str">
        <f t="shared" si="23"/>
        <v>Python</v>
      </c>
      <c r="Q157">
        <v>0</v>
      </c>
      <c r="R157">
        <v>7</v>
      </c>
      <c r="S157">
        <v>5</v>
      </c>
      <c r="T157">
        <v>0</v>
      </c>
      <c r="U157">
        <v>0</v>
      </c>
      <c r="V157">
        <v>7</v>
      </c>
      <c r="W157" t="s">
        <v>85</v>
      </c>
      <c r="X157" t="s">
        <v>36</v>
      </c>
      <c r="Y157" t="s">
        <v>37</v>
      </c>
      <c r="Z157">
        <v>37</v>
      </c>
      <c r="AA157" t="s">
        <v>47</v>
      </c>
      <c r="AB157" t="str">
        <f t="shared" si="24"/>
        <v>Canada</v>
      </c>
      <c r="AC157" t="s">
        <v>240</v>
      </c>
      <c r="AD157" t="str">
        <f t="shared" si="25"/>
        <v>Masters</v>
      </c>
      <c r="AE157" t="s">
        <v>39</v>
      </c>
      <c r="AF157" t="str">
        <f t="shared" si="26"/>
        <v>White or Caucasian</v>
      </c>
    </row>
    <row r="158" spans="1:32" x14ac:dyDescent="0.45">
      <c r="A158" t="s">
        <v>553</v>
      </c>
      <c r="B158" t="s">
        <v>25</v>
      </c>
      <c r="C158" s="3" t="s">
        <v>26</v>
      </c>
      <c r="D158" s="3">
        <f t="shared" si="18"/>
        <v>44840</v>
      </c>
      <c r="E158" t="s">
        <v>554</v>
      </c>
      <c r="F158" s="4">
        <f t="shared" si="19"/>
        <v>0.44374999999999998</v>
      </c>
      <c r="G158" t="s">
        <v>250</v>
      </c>
      <c r="H158" t="s">
        <v>30</v>
      </c>
      <c r="I158" t="str">
        <f t="shared" si="20"/>
        <v>Data Analyst</v>
      </c>
      <c r="J158" t="s">
        <v>43</v>
      </c>
      <c r="K158" t="s">
        <v>44</v>
      </c>
      <c r="L158">
        <f t="shared" si="21"/>
        <v>53</v>
      </c>
      <c r="M158" t="s">
        <v>555</v>
      </c>
      <c r="N158" t="str">
        <f t="shared" si="22"/>
        <v>Other</v>
      </c>
      <c r="O158" t="s">
        <v>46</v>
      </c>
      <c r="P158" t="str">
        <f t="shared" si="23"/>
        <v>R</v>
      </c>
      <c r="Q158">
        <v>4</v>
      </c>
      <c r="R158">
        <v>6</v>
      </c>
      <c r="S158">
        <v>5</v>
      </c>
      <c r="T158">
        <v>4</v>
      </c>
      <c r="U158">
        <v>5</v>
      </c>
      <c r="V158">
        <v>6</v>
      </c>
      <c r="W158" t="s">
        <v>85</v>
      </c>
      <c r="X158" t="s">
        <v>70</v>
      </c>
      <c r="Y158" t="s">
        <v>37</v>
      </c>
      <c r="Z158">
        <v>25</v>
      </c>
      <c r="AA158" t="s">
        <v>38</v>
      </c>
      <c r="AB158" t="str">
        <f t="shared" si="24"/>
        <v>United States</v>
      </c>
      <c r="AC158" t="s">
        <v>237</v>
      </c>
      <c r="AD158" t="str">
        <f t="shared" si="25"/>
        <v>Bachelors</v>
      </c>
      <c r="AE158" t="s">
        <v>39</v>
      </c>
      <c r="AF158" t="str">
        <f t="shared" si="26"/>
        <v>White or Caucasian</v>
      </c>
    </row>
    <row r="159" spans="1:32" x14ac:dyDescent="0.45">
      <c r="A159" t="s">
        <v>556</v>
      </c>
      <c r="B159" t="s">
        <v>25</v>
      </c>
      <c r="C159" s="3" t="s">
        <v>26</v>
      </c>
      <c r="D159" s="3">
        <f t="shared" si="18"/>
        <v>44840</v>
      </c>
      <c r="E159" t="s">
        <v>557</v>
      </c>
      <c r="F159" s="4">
        <f t="shared" si="19"/>
        <v>0.44444444444444442</v>
      </c>
      <c r="G159" t="s">
        <v>336</v>
      </c>
      <c r="H159" t="s">
        <v>30</v>
      </c>
      <c r="I159" t="str">
        <f t="shared" si="20"/>
        <v>Data Analyst</v>
      </c>
      <c r="J159" t="s">
        <v>43</v>
      </c>
      <c r="K159" t="s">
        <v>53</v>
      </c>
      <c r="L159">
        <f t="shared" si="21"/>
        <v>20</v>
      </c>
      <c r="M159" t="s">
        <v>45</v>
      </c>
      <c r="N159" t="str">
        <f t="shared" si="22"/>
        <v>Finance</v>
      </c>
      <c r="O159" t="s">
        <v>318</v>
      </c>
      <c r="P159" t="str">
        <f t="shared" si="23"/>
        <v>Other</v>
      </c>
      <c r="Q159">
        <v>4</v>
      </c>
      <c r="R159">
        <v>4</v>
      </c>
      <c r="S159">
        <v>5</v>
      </c>
      <c r="T159">
        <v>6</v>
      </c>
      <c r="U159">
        <v>6</v>
      </c>
      <c r="V159">
        <v>0</v>
      </c>
      <c r="W159" t="s">
        <v>69</v>
      </c>
      <c r="X159" t="s">
        <v>70</v>
      </c>
      <c r="Y159" t="s">
        <v>37</v>
      </c>
      <c r="Z159">
        <v>24</v>
      </c>
      <c r="AA159" t="s">
        <v>558</v>
      </c>
      <c r="AB159" t="str">
        <f t="shared" si="24"/>
        <v>Other</v>
      </c>
      <c r="AC159" t="s">
        <v>227</v>
      </c>
      <c r="AD159" t="str">
        <f t="shared" si="25"/>
        <v>High School</v>
      </c>
      <c r="AE159" t="s">
        <v>39</v>
      </c>
      <c r="AF159" t="str">
        <f t="shared" si="26"/>
        <v>White or Caucasian</v>
      </c>
    </row>
    <row r="160" spans="1:32" x14ac:dyDescent="0.45">
      <c r="A160" t="s">
        <v>559</v>
      </c>
      <c r="B160" t="s">
        <v>25</v>
      </c>
      <c r="C160" s="3" t="s">
        <v>26</v>
      </c>
      <c r="D160" s="3">
        <f t="shared" si="18"/>
        <v>44840</v>
      </c>
      <c r="E160" t="s">
        <v>560</v>
      </c>
      <c r="F160" s="4">
        <f t="shared" si="19"/>
        <v>0.44513888888888886</v>
      </c>
      <c r="G160" t="s">
        <v>514</v>
      </c>
      <c r="H160" t="s">
        <v>561</v>
      </c>
      <c r="I160" t="str">
        <f t="shared" si="20"/>
        <v>Other</v>
      </c>
      <c r="J160" t="s">
        <v>43</v>
      </c>
      <c r="K160" t="s">
        <v>82</v>
      </c>
      <c r="L160">
        <f t="shared" si="21"/>
        <v>137.5</v>
      </c>
      <c r="M160" t="s">
        <v>45</v>
      </c>
      <c r="N160" t="str">
        <f t="shared" si="22"/>
        <v>Finance</v>
      </c>
      <c r="O160" t="s">
        <v>84</v>
      </c>
      <c r="P160" t="str">
        <f t="shared" si="23"/>
        <v>Other</v>
      </c>
      <c r="Q160">
        <v>7</v>
      </c>
      <c r="R160">
        <v>8</v>
      </c>
      <c r="S160">
        <v>8</v>
      </c>
      <c r="T160">
        <v>8</v>
      </c>
      <c r="U160">
        <v>7</v>
      </c>
      <c r="V160">
        <v>8</v>
      </c>
      <c r="W160" t="s">
        <v>55</v>
      </c>
      <c r="X160" t="s">
        <v>70</v>
      </c>
      <c r="Y160" t="s">
        <v>37</v>
      </c>
      <c r="Z160">
        <v>52</v>
      </c>
      <c r="AA160" t="s">
        <v>38</v>
      </c>
      <c r="AB160" t="str">
        <f t="shared" si="24"/>
        <v>United States</v>
      </c>
      <c r="AC160" t="s">
        <v>237</v>
      </c>
      <c r="AD160" t="str">
        <f t="shared" si="25"/>
        <v>Bachelors</v>
      </c>
      <c r="AE160" t="s">
        <v>39</v>
      </c>
      <c r="AF160" t="str">
        <f t="shared" si="26"/>
        <v>White or Caucasian</v>
      </c>
    </row>
    <row r="161" spans="1:32" x14ac:dyDescent="0.45">
      <c r="A161" t="s">
        <v>562</v>
      </c>
      <c r="B161" t="s">
        <v>25</v>
      </c>
      <c r="C161" s="3" t="s">
        <v>26</v>
      </c>
      <c r="D161" s="3">
        <f t="shared" si="18"/>
        <v>44840</v>
      </c>
      <c r="E161" t="s">
        <v>563</v>
      </c>
      <c r="F161" s="4">
        <f t="shared" si="19"/>
        <v>0.4465277777777778</v>
      </c>
      <c r="G161" t="s">
        <v>564</v>
      </c>
      <c r="H161" t="s">
        <v>30</v>
      </c>
      <c r="I161" t="str">
        <f t="shared" si="20"/>
        <v>Data Analyst</v>
      </c>
      <c r="J161" t="s">
        <v>31</v>
      </c>
      <c r="K161" t="s">
        <v>44</v>
      </c>
      <c r="L161">
        <f t="shared" si="21"/>
        <v>53</v>
      </c>
      <c r="M161" t="s">
        <v>45</v>
      </c>
      <c r="N161" t="str">
        <f t="shared" si="22"/>
        <v>Finance</v>
      </c>
      <c r="O161" t="s">
        <v>34</v>
      </c>
      <c r="P161" t="str">
        <f t="shared" si="23"/>
        <v>Python</v>
      </c>
      <c r="Q161">
        <v>6</v>
      </c>
      <c r="R161">
        <v>10</v>
      </c>
      <c r="S161">
        <v>3</v>
      </c>
      <c r="T161">
        <v>5</v>
      </c>
      <c r="U161">
        <v>0</v>
      </c>
      <c r="V161">
        <v>10</v>
      </c>
      <c r="W161" t="s">
        <v>69</v>
      </c>
      <c r="X161" t="s">
        <v>114</v>
      </c>
      <c r="Y161" t="s">
        <v>37</v>
      </c>
      <c r="Z161">
        <v>27</v>
      </c>
      <c r="AA161" t="s">
        <v>565</v>
      </c>
      <c r="AB161" t="str">
        <f t="shared" si="24"/>
        <v>Other</v>
      </c>
      <c r="AC161" t="s">
        <v>237</v>
      </c>
      <c r="AD161" t="str">
        <f t="shared" si="25"/>
        <v>Bachelors</v>
      </c>
      <c r="AE161" t="s">
        <v>48</v>
      </c>
      <c r="AF161" t="str">
        <f t="shared" si="26"/>
        <v>Asian or Asian American</v>
      </c>
    </row>
    <row r="162" spans="1:32" x14ac:dyDescent="0.45">
      <c r="A162" t="s">
        <v>566</v>
      </c>
      <c r="B162" t="s">
        <v>25</v>
      </c>
      <c r="C162" s="3" t="s">
        <v>26</v>
      </c>
      <c r="D162" s="3">
        <f t="shared" si="18"/>
        <v>44840</v>
      </c>
      <c r="E162" t="s">
        <v>567</v>
      </c>
      <c r="F162" s="4">
        <f t="shared" si="19"/>
        <v>0.44930555555555557</v>
      </c>
      <c r="G162" t="s">
        <v>568</v>
      </c>
      <c r="H162" t="s">
        <v>30</v>
      </c>
      <c r="I162" t="str">
        <f t="shared" si="20"/>
        <v>Data Analyst</v>
      </c>
      <c r="J162" t="s">
        <v>43</v>
      </c>
      <c r="K162" t="s">
        <v>32</v>
      </c>
      <c r="L162">
        <f t="shared" si="21"/>
        <v>115.5</v>
      </c>
      <c r="M162" t="s">
        <v>33</v>
      </c>
      <c r="N162" t="str">
        <f t="shared" si="22"/>
        <v>Healthcare</v>
      </c>
      <c r="O162" t="s">
        <v>376</v>
      </c>
      <c r="P162" t="str">
        <f t="shared" si="23"/>
        <v>Other</v>
      </c>
      <c r="Q162">
        <v>6</v>
      </c>
      <c r="R162">
        <v>6</v>
      </c>
      <c r="S162">
        <v>3</v>
      </c>
      <c r="T162">
        <v>3</v>
      </c>
      <c r="U162">
        <v>3</v>
      </c>
      <c r="V162">
        <v>3</v>
      </c>
      <c r="W162" t="s">
        <v>85</v>
      </c>
      <c r="X162" t="s">
        <v>70</v>
      </c>
      <c r="Y162" t="s">
        <v>65</v>
      </c>
      <c r="Z162">
        <v>29</v>
      </c>
      <c r="AA162" t="s">
        <v>38</v>
      </c>
      <c r="AB162" t="str">
        <f t="shared" si="24"/>
        <v>United States</v>
      </c>
      <c r="AC162" t="s">
        <v>240</v>
      </c>
      <c r="AD162" t="str">
        <f t="shared" si="25"/>
        <v>Masters</v>
      </c>
      <c r="AE162" t="s">
        <v>39</v>
      </c>
      <c r="AF162" t="str">
        <f t="shared" si="26"/>
        <v>White or Caucasian</v>
      </c>
    </row>
    <row r="163" spans="1:32" x14ac:dyDescent="0.45">
      <c r="A163" t="s">
        <v>569</v>
      </c>
      <c r="B163" t="s">
        <v>25</v>
      </c>
      <c r="C163" s="3" t="s">
        <v>26</v>
      </c>
      <c r="D163" s="3">
        <f t="shared" si="18"/>
        <v>44840</v>
      </c>
      <c r="E163" t="s">
        <v>570</v>
      </c>
      <c r="F163" s="4">
        <f t="shared" si="19"/>
        <v>0.4513888888888889</v>
      </c>
      <c r="G163" t="s">
        <v>504</v>
      </c>
      <c r="H163" t="s">
        <v>123</v>
      </c>
      <c r="I163" t="str">
        <f t="shared" si="20"/>
        <v>None</v>
      </c>
      <c r="J163" t="s">
        <v>43</v>
      </c>
      <c r="K163" t="s">
        <v>53</v>
      </c>
      <c r="L163">
        <f t="shared" si="21"/>
        <v>20</v>
      </c>
      <c r="M163" t="s">
        <v>103</v>
      </c>
      <c r="N163" t="str">
        <f t="shared" si="22"/>
        <v>Tech</v>
      </c>
      <c r="O163" t="s">
        <v>34</v>
      </c>
      <c r="P163" t="str">
        <f t="shared" si="23"/>
        <v>Python</v>
      </c>
      <c r="Q163">
        <v>3</v>
      </c>
      <c r="R163">
        <v>7</v>
      </c>
      <c r="S163">
        <v>6</v>
      </c>
      <c r="T163">
        <v>7</v>
      </c>
      <c r="U163">
        <v>0</v>
      </c>
      <c r="V163">
        <v>0</v>
      </c>
      <c r="W163" t="s">
        <v>69</v>
      </c>
      <c r="X163" t="s">
        <v>70</v>
      </c>
      <c r="Y163" t="s">
        <v>37</v>
      </c>
      <c r="Z163">
        <v>42</v>
      </c>
      <c r="AA163" t="s">
        <v>341</v>
      </c>
      <c r="AB163" t="str">
        <f t="shared" si="24"/>
        <v>Other</v>
      </c>
      <c r="AC163" t="s">
        <v>262</v>
      </c>
      <c r="AD163" t="str">
        <f t="shared" si="25"/>
        <v>Associates</v>
      </c>
      <c r="AE163" t="s">
        <v>39</v>
      </c>
      <c r="AF163" t="str">
        <f t="shared" si="26"/>
        <v>White or Caucasian</v>
      </c>
    </row>
    <row r="164" spans="1:32" x14ac:dyDescent="0.45">
      <c r="A164" t="s">
        <v>571</v>
      </c>
      <c r="B164" t="s">
        <v>25</v>
      </c>
      <c r="C164" s="3" t="s">
        <v>26</v>
      </c>
      <c r="D164" s="3">
        <f t="shared" si="18"/>
        <v>44840</v>
      </c>
      <c r="E164" t="s">
        <v>572</v>
      </c>
      <c r="F164" s="4">
        <f t="shared" si="19"/>
        <v>0.45277777777777778</v>
      </c>
      <c r="G164" t="s">
        <v>112</v>
      </c>
      <c r="H164" t="s">
        <v>30</v>
      </c>
      <c r="I164" t="str">
        <f t="shared" si="20"/>
        <v>Data Analyst</v>
      </c>
      <c r="J164" t="s">
        <v>31</v>
      </c>
      <c r="K164" t="s">
        <v>44</v>
      </c>
      <c r="L164">
        <f t="shared" si="21"/>
        <v>53</v>
      </c>
      <c r="M164" t="s">
        <v>90</v>
      </c>
      <c r="N164" t="str">
        <f t="shared" si="22"/>
        <v>Telecommunication</v>
      </c>
      <c r="O164" t="s">
        <v>46</v>
      </c>
      <c r="P164" t="str">
        <f t="shared" si="23"/>
        <v>R</v>
      </c>
      <c r="Q164">
        <v>3</v>
      </c>
      <c r="R164">
        <v>5</v>
      </c>
      <c r="S164">
        <v>6</v>
      </c>
      <c r="T164">
        <v>4</v>
      </c>
      <c r="U164">
        <v>3</v>
      </c>
      <c r="V164">
        <v>7</v>
      </c>
      <c r="W164" t="s">
        <v>69</v>
      </c>
      <c r="X164" t="s">
        <v>573</v>
      </c>
      <c r="Y164" t="s">
        <v>37</v>
      </c>
      <c r="Z164">
        <v>28</v>
      </c>
      <c r="AA164" t="s">
        <v>38</v>
      </c>
      <c r="AB164" t="str">
        <f t="shared" si="24"/>
        <v>United States</v>
      </c>
      <c r="AC164" t="s">
        <v>240</v>
      </c>
      <c r="AD164" t="str">
        <f t="shared" si="25"/>
        <v>Masters</v>
      </c>
      <c r="AE164" t="s">
        <v>39</v>
      </c>
      <c r="AF164" t="str">
        <f t="shared" si="26"/>
        <v>White or Caucasian</v>
      </c>
    </row>
    <row r="165" spans="1:32" x14ac:dyDescent="0.45">
      <c r="A165" t="s">
        <v>574</v>
      </c>
      <c r="B165" t="s">
        <v>25</v>
      </c>
      <c r="C165" s="3" t="s">
        <v>26</v>
      </c>
      <c r="D165" s="3">
        <f t="shared" si="18"/>
        <v>44840</v>
      </c>
      <c r="E165" t="s">
        <v>572</v>
      </c>
      <c r="F165" s="4">
        <f t="shared" si="19"/>
        <v>0.45277777777777778</v>
      </c>
      <c r="G165" t="s">
        <v>210</v>
      </c>
      <c r="H165" t="s">
        <v>30</v>
      </c>
      <c r="I165" t="str">
        <f t="shared" si="20"/>
        <v>Data Analyst</v>
      </c>
      <c r="J165" t="s">
        <v>31</v>
      </c>
      <c r="K165" t="s">
        <v>53</v>
      </c>
      <c r="L165">
        <f t="shared" si="21"/>
        <v>20</v>
      </c>
      <c r="M165" t="s">
        <v>103</v>
      </c>
      <c r="N165" t="str">
        <f t="shared" si="22"/>
        <v>Tech</v>
      </c>
      <c r="O165" t="s">
        <v>34</v>
      </c>
      <c r="P165" t="str">
        <f t="shared" si="23"/>
        <v>Python</v>
      </c>
      <c r="Q165">
        <v>8</v>
      </c>
      <c r="R165">
        <v>8</v>
      </c>
      <c r="S165">
        <v>8</v>
      </c>
      <c r="T165">
        <v>8</v>
      </c>
      <c r="U165">
        <v>8</v>
      </c>
      <c r="V165">
        <v>9</v>
      </c>
      <c r="W165" t="s">
        <v>85</v>
      </c>
      <c r="X165" t="s">
        <v>56</v>
      </c>
      <c r="Y165" t="s">
        <v>37</v>
      </c>
      <c r="Z165">
        <v>44</v>
      </c>
      <c r="AA165" t="s">
        <v>403</v>
      </c>
      <c r="AB165" t="str">
        <f t="shared" si="24"/>
        <v>Other</v>
      </c>
      <c r="AC165" t="s">
        <v>237</v>
      </c>
      <c r="AD165" t="str">
        <f t="shared" si="25"/>
        <v>Bachelors</v>
      </c>
      <c r="AE165" t="s">
        <v>91</v>
      </c>
      <c r="AF165" t="str">
        <f t="shared" si="26"/>
        <v>Hispanic or Latino</v>
      </c>
    </row>
    <row r="166" spans="1:32" x14ac:dyDescent="0.45">
      <c r="A166" t="s">
        <v>575</v>
      </c>
      <c r="B166" t="s">
        <v>25</v>
      </c>
      <c r="C166" s="3" t="s">
        <v>26</v>
      </c>
      <c r="D166" s="3">
        <f t="shared" si="18"/>
        <v>44840</v>
      </c>
      <c r="E166" t="s">
        <v>576</v>
      </c>
      <c r="F166" s="4">
        <f t="shared" si="19"/>
        <v>0.45347222222222222</v>
      </c>
      <c r="G166" t="s">
        <v>42</v>
      </c>
      <c r="H166" t="s">
        <v>52</v>
      </c>
      <c r="I166" t="str">
        <f t="shared" si="20"/>
        <v>Data Engineer</v>
      </c>
      <c r="J166" t="s">
        <v>31</v>
      </c>
      <c r="K166" t="s">
        <v>53</v>
      </c>
      <c r="L166">
        <f t="shared" si="21"/>
        <v>20</v>
      </c>
      <c r="M166" t="s">
        <v>103</v>
      </c>
      <c r="N166" t="str">
        <f t="shared" si="22"/>
        <v>Tech</v>
      </c>
      <c r="O166" t="s">
        <v>34</v>
      </c>
      <c r="P166" t="str">
        <f t="shared" si="23"/>
        <v>Python</v>
      </c>
      <c r="Q166">
        <v>5</v>
      </c>
      <c r="R166">
        <v>5</v>
      </c>
      <c r="S166">
        <v>6</v>
      </c>
      <c r="T166">
        <v>5</v>
      </c>
      <c r="U166">
        <v>6</v>
      </c>
      <c r="V166">
        <v>7</v>
      </c>
      <c r="W166" t="s">
        <v>85</v>
      </c>
      <c r="X166" t="s">
        <v>36</v>
      </c>
      <c r="Y166" t="s">
        <v>37</v>
      </c>
      <c r="Z166">
        <v>23</v>
      </c>
      <c r="AA166" t="s">
        <v>207</v>
      </c>
      <c r="AB166" t="str">
        <f t="shared" si="24"/>
        <v>Other</v>
      </c>
      <c r="AC166" t="s">
        <v>237</v>
      </c>
      <c r="AD166" t="str">
        <f t="shared" si="25"/>
        <v>Bachelors</v>
      </c>
      <c r="AE166" t="s">
        <v>39</v>
      </c>
      <c r="AF166" t="str">
        <f t="shared" si="26"/>
        <v>White or Caucasian</v>
      </c>
    </row>
    <row r="167" spans="1:32" x14ac:dyDescent="0.45">
      <c r="A167" t="s">
        <v>577</v>
      </c>
      <c r="B167" t="s">
        <v>25</v>
      </c>
      <c r="C167" s="3" t="s">
        <v>26</v>
      </c>
      <c r="D167" s="3">
        <f t="shared" si="18"/>
        <v>44840</v>
      </c>
      <c r="E167" t="s">
        <v>576</v>
      </c>
      <c r="F167" s="4">
        <f t="shared" si="19"/>
        <v>0.45347222222222222</v>
      </c>
      <c r="G167" t="s">
        <v>364</v>
      </c>
      <c r="H167" t="s">
        <v>30</v>
      </c>
      <c r="I167" t="str">
        <f t="shared" si="20"/>
        <v>Data Analyst</v>
      </c>
      <c r="J167" t="s">
        <v>43</v>
      </c>
      <c r="K167" t="s">
        <v>44</v>
      </c>
      <c r="L167">
        <f t="shared" si="21"/>
        <v>53</v>
      </c>
      <c r="M167" t="s">
        <v>578</v>
      </c>
      <c r="N167" t="str">
        <f t="shared" si="22"/>
        <v>Other</v>
      </c>
      <c r="O167" t="s">
        <v>46</v>
      </c>
      <c r="P167" t="str">
        <f t="shared" si="23"/>
        <v>R</v>
      </c>
      <c r="Q167">
        <v>1</v>
      </c>
      <c r="R167">
        <v>2</v>
      </c>
      <c r="S167">
        <v>6</v>
      </c>
      <c r="T167">
        <v>4</v>
      </c>
      <c r="U167">
        <v>2</v>
      </c>
      <c r="V167">
        <v>0</v>
      </c>
      <c r="W167" t="s">
        <v>55</v>
      </c>
      <c r="X167" t="s">
        <v>70</v>
      </c>
      <c r="Y167" t="s">
        <v>37</v>
      </c>
      <c r="Z167">
        <v>27</v>
      </c>
      <c r="AA167" t="s">
        <v>38</v>
      </c>
      <c r="AB167" t="str">
        <f t="shared" si="24"/>
        <v>United States</v>
      </c>
      <c r="AC167" t="s">
        <v>237</v>
      </c>
      <c r="AD167" t="str">
        <f t="shared" si="25"/>
        <v>Bachelors</v>
      </c>
      <c r="AE167" t="s">
        <v>91</v>
      </c>
      <c r="AF167" t="str">
        <f t="shared" si="26"/>
        <v>Hispanic or Latino</v>
      </c>
    </row>
    <row r="168" spans="1:32" x14ac:dyDescent="0.45">
      <c r="A168" t="s">
        <v>579</v>
      </c>
      <c r="B168" t="s">
        <v>25</v>
      </c>
      <c r="C168" s="3" t="s">
        <v>26</v>
      </c>
      <c r="D168" s="3">
        <f t="shared" si="18"/>
        <v>44840</v>
      </c>
      <c r="E168" t="s">
        <v>580</v>
      </c>
      <c r="F168" s="4">
        <f t="shared" si="19"/>
        <v>0.45416666666666666</v>
      </c>
      <c r="G168" t="s">
        <v>126</v>
      </c>
      <c r="H168" t="s">
        <v>30</v>
      </c>
      <c r="I168" t="str">
        <f t="shared" si="20"/>
        <v>Data Analyst</v>
      </c>
      <c r="J168" t="s">
        <v>43</v>
      </c>
      <c r="K168" t="s">
        <v>94</v>
      </c>
      <c r="L168">
        <f t="shared" si="21"/>
        <v>75.5</v>
      </c>
      <c r="M168" t="s">
        <v>113</v>
      </c>
      <c r="N168" t="str">
        <f t="shared" si="22"/>
        <v>Construction</v>
      </c>
      <c r="O168" t="s">
        <v>34</v>
      </c>
      <c r="P168" t="str">
        <f t="shared" si="23"/>
        <v>Python</v>
      </c>
      <c r="Q168">
        <v>3</v>
      </c>
      <c r="R168">
        <v>3</v>
      </c>
      <c r="S168">
        <v>3</v>
      </c>
      <c r="T168">
        <v>2</v>
      </c>
      <c r="U168">
        <v>2</v>
      </c>
      <c r="V168">
        <v>1</v>
      </c>
      <c r="W168" t="s">
        <v>85</v>
      </c>
      <c r="X168" t="s">
        <v>114</v>
      </c>
      <c r="Y168" t="s">
        <v>37</v>
      </c>
      <c r="Z168">
        <v>26</v>
      </c>
      <c r="AA168" t="s">
        <v>38</v>
      </c>
      <c r="AB168" t="str">
        <f t="shared" si="24"/>
        <v>United States</v>
      </c>
      <c r="AC168" t="s">
        <v>240</v>
      </c>
      <c r="AD168" t="str">
        <f t="shared" si="25"/>
        <v>Masters</v>
      </c>
      <c r="AE168" t="s">
        <v>39</v>
      </c>
      <c r="AF168" t="str">
        <f t="shared" si="26"/>
        <v>White or Caucasian</v>
      </c>
    </row>
    <row r="169" spans="1:32" x14ac:dyDescent="0.45">
      <c r="A169" t="s">
        <v>581</v>
      </c>
      <c r="B169" t="s">
        <v>25</v>
      </c>
      <c r="C169" s="3" t="s">
        <v>26</v>
      </c>
      <c r="D169" s="3">
        <f t="shared" si="18"/>
        <v>44840</v>
      </c>
      <c r="E169" t="s">
        <v>582</v>
      </c>
      <c r="F169" s="4">
        <f t="shared" si="19"/>
        <v>0.4548611111111111</v>
      </c>
      <c r="G169" t="s">
        <v>364</v>
      </c>
      <c r="H169" t="s">
        <v>30</v>
      </c>
      <c r="I169" t="str">
        <f t="shared" si="20"/>
        <v>Data Analyst</v>
      </c>
      <c r="J169" t="s">
        <v>31</v>
      </c>
      <c r="K169" t="s">
        <v>87</v>
      </c>
      <c r="L169">
        <f t="shared" si="21"/>
        <v>95.5</v>
      </c>
      <c r="M169" t="s">
        <v>33</v>
      </c>
      <c r="N169" t="str">
        <f t="shared" si="22"/>
        <v>Healthcare</v>
      </c>
      <c r="O169" t="s">
        <v>583</v>
      </c>
      <c r="P169" t="str">
        <f t="shared" si="23"/>
        <v>Other</v>
      </c>
      <c r="Q169">
        <v>3</v>
      </c>
      <c r="R169">
        <v>4</v>
      </c>
      <c r="S169">
        <v>4</v>
      </c>
      <c r="T169">
        <v>4</v>
      </c>
      <c r="U169">
        <v>1</v>
      </c>
      <c r="V169">
        <v>3</v>
      </c>
      <c r="W169" t="s">
        <v>85</v>
      </c>
      <c r="X169" t="s">
        <v>70</v>
      </c>
      <c r="Y169" t="s">
        <v>37</v>
      </c>
      <c r="Z169">
        <v>27</v>
      </c>
      <c r="AA169" t="s">
        <v>38</v>
      </c>
      <c r="AB169" t="str">
        <f t="shared" si="24"/>
        <v>United States</v>
      </c>
      <c r="AC169" t="s">
        <v>240</v>
      </c>
      <c r="AD169" t="str">
        <f t="shared" si="25"/>
        <v>Masters</v>
      </c>
      <c r="AE169" t="s">
        <v>91</v>
      </c>
      <c r="AF169" t="str">
        <f t="shared" si="26"/>
        <v>Hispanic or Latino</v>
      </c>
    </row>
    <row r="170" spans="1:32" x14ac:dyDescent="0.45">
      <c r="A170" t="s">
        <v>584</v>
      </c>
      <c r="B170" t="s">
        <v>25</v>
      </c>
      <c r="C170" s="3" t="s">
        <v>26</v>
      </c>
      <c r="D170" s="3">
        <f t="shared" si="18"/>
        <v>44840</v>
      </c>
      <c r="E170" t="s">
        <v>585</v>
      </c>
      <c r="F170" s="4">
        <f t="shared" si="19"/>
        <v>0.45555555555555555</v>
      </c>
      <c r="G170" t="s">
        <v>375</v>
      </c>
      <c r="H170" t="s">
        <v>30</v>
      </c>
      <c r="I170" t="str">
        <f t="shared" si="20"/>
        <v>Data Analyst</v>
      </c>
      <c r="J170" t="s">
        <v>31</v>
      </c>
      <c r="K170" t="s">
        <v>94</v>
      </c>
      <c r="L170">
        <f t="shared" si="21"/>
        <v>75.5</v>
      </c>
      <c r="M170" t="s">
        <v>83</v>
      </c>
      <c r="N170" t="str">
        <f t="shared" si="22"/>
        <v>Other</v>
      </c>
      <c r="O170" t="s">
        <v>34</v>
      </c>
      <c r="P170" t="str">
        <f t="shared" si="23"/>
        <v>Python</v>
      </c>
      <c r="Q170">
        <v>0</v>
      </c>
      <c r="R170">
        <v>0</v>
      </c>
      <c r="S170">
        <v>7</v>
      </c>
      <c r="T170">
        <v>1</v>
      </c>
      <c r="U170">
        <v>0</v>
      </c>
      <c r="V170">
        <v>9</v>
      </c>
      <c r="W170" t="s">
        <v>69</v>
      </c>
      <c r="X170" t="s">
        <v>70</v>
      </c>
      <c r="Y170" t="s">
        <v>37</v>
      </c>
      <c r="Z170">
        <v>33</v>
      </c>
      <c r="AA170" t="s">
        <v>47</v>
      </c>
      <c r="AB170" t="str">
        <f t="shared" si="24"/>
        <v>Canada</v>
      </c>
      <c r="AC170" t="s">
        <v>237</v>
      </c>
      <c r="AD170" t="str">
        <f t="shared" si="25"/>
        <v>Bachelors</v>
      </c>
      <c r="AE170" t="s">
        <v>48</v>
      </c>
      <c r="AF170" t="str">
        <f t="shared" si="26"/>
        <v>Asian or Asian American</v>
      </c>
    </row>
    <row r="171" spans="1:32" x14ac:dyDescent="0.45">
      <c r="A171" t="s">
        <v>586</v>
      </c>
      <c r="B171" t="s">
        <v>25</v>
      </c>
      <c r="C171" s="3" t="s">
        <v>26</v>
      </c>
      <c r="D171" s="3">
        <f t="shared" si="18"/>
        <v>44840</v>
      </c>
      <c r="E171" t="s">
        <v>585</v>
      </c>
      <c r="F171" s="4">
        <f t="shared" si="19"/>
        <v>0.45555555555555555</v>
      </c>
      <c r="G171" t="s">
        <v>250</v>
      </c>
      <c r="H171" t="s">
        <v>30</v>
      </c>
      <c r="I171" t="str">
        <f t="shared" si="20"/>
        <v>Data Analyst</v>
      </c>
      <c r="J171" t="s">
        <v>31</v>
      </c>
      <c r="K171" t="s">
        <v>94</v>
      </c>
      <c r="L171">
        <f t="shared" si="21"/>
        <v>75.5</v>
      </c>
      <c r="M171" t="s">
        <v>587</v>
      </c>
      <c r="N171" t="str">
        <f t="shared" si="22"/>
        <v>Other</v>
      </c>
      <c r="O171" t="s">
        <v>34</v>
      </c>
      <c r="P171" t="str">
        <f t="shared" si="23"/>
        <v>Python</v>
      </c>
      <c r="Q171">
        <v>8</v>
      </c>
      <c r="R171">
        <v>10</v>
      </c>
      <c r="S171">
        <v>10</v>
      </c>
      <c r="T171">
        <v>10</v>
      </c>
      <c r="U171">
        <v>10</v>
      </c>
      <c r="V171">
        <v>10</v>
      </c>
      <c r="W171" t="s">
        <v>55</v>
      </c>
      <c r="X171" t="s">
        <v>70</v>
      </c>
      <c r="Y171" t="s">
        <v>37</v>
      </c>
      <c r="Z171">
        <v>28</v>
      </c>
      <c r="AA171" t="s">
        <v>38</v>
      </c>
      <c r="AB171" t="str">
        <f t="shared" si="24"/>
        <v>United States</v>
      </c>
      <c r="AC171" t="s">
        <v>237</v>
      </c>
      <c r="AD171" t="str">
        <f t="shared" si="25"/>
        <v>Bachelors</v>
      </c>
      <c r="AE171" t="s">
        <v>91</v>
      </c>
      <c r="AF171" t="str">
        <f t="shared" si="26"/>
        <v>Hispanic or Latino</v>
      </c>
    </row>
    <row r="172" spans="1:32" x14ac:dyDescent="0.45">
      <c r="A172" t="s">
        <v>588</v>
      </c>
      <c r="B172" t="s">
        <v>25</v>
      </c>
      <c r="C172" s="3" t="s">
        <v>26</v>
      </c>
      <c r="D172" s="3">
        <f t="shared" si="18"/>
        <v>44840</v>
      </c>
      <c r="E172" t="s">
        <v>589</v>
      </c>
      <c r="F172" s="4">
        <f t="shared" si="19"/>
        <v>0.45833333333333331</v>
      </c>
      <c r="G172" t="s">
        <v>93</v>
      </c>
      <c r="H172" t="s">
        <v>30</v>
      </c>
      <c r="I172" t="str">
        <f t="shared" si="20"/>
        <v>Data Analyst</v>
      </c>
      <c r="J172" t="s">
        <v>31</v>
      </c>
      <c r="K172" t="s">
        <v>53</v>
      </c>
      <c r="L172">
        <f t="shared" si="21"/>
        <v>20</v>
      </c>
      <c r="M172" t="s">
        <v>103</v>
      </c>
      <c r="N172" t="str">
        <f t="shared" si="22"/>
        <v>Tech</v>
      </c>
      <c r="O172" t="s">
        <v>46</v>
      </c>
      <c r="P172" t="str">
        <f t="shared" si="23"/>
        <v>R</v>
      </c>
      <c r="Q172">
        <v>2</v>
      </c>
      <c r="R172">
        <v>8</v>
      </c>
      <c r="S172">
        <v>8</v>
      </c>
      <c r="T172">
        <v>7</v>
      </c>
      <c r="U172">
        <v>6</v>
      </c>
      <c r="V172">
        <v>9</v>
      </c>
      <c r="W172" t="s">
        <v>85</v>
      </c>
      <c r="X172" t="s">
        <v>70</v>
      </c>
      <c r="Y172" t="s">
        <v>37</v>
      </c>
      <c r="Z172">
        <v>32</v>
      </c>
      <c r="AA172" t="s">
        <v>132</v>
      </c>
      <c r="AB172" t="str">
        <f t="shared" si="24"/>
        <v>Other</v>
      </c>
      <c r="AC172" t="s">
        <v>237</v>
      </c>
      <c r="AD172" t="str">
        <f t="shared" si="25"/>
        <v>Bachelors</v>
      </c>
      <c r="AE172" t="s">
        <v>58</v>
      </c>
      <c r="AF172" t="str">
        <f t="shared" si="26"/>
        <v>Black or African American</v>
      </c>
    </row>
    <row r="173" spans="1:32" x14ac:dyDescent="0.45">
      <c r="A173" t="s">
        <v>590</v>
      </c>
      <c r="B173" t="s">
        <v>25</v>
      </c>
      <c r="C173" s="3" t="s">
        <v>26</v>
      </c>
      <c r="D173" s="3">
        <f t="shared" si="18"/>
        <v>44840</v>
      </c>
      <c r="E173" t="s">
        <v>591</v>
      </c>
      <c r="F173" s="4">
        <f t="shared" si="19"/>
        <v>0.46111111111111114</v>
      </c>
      <c r="G173" t="s">
        <v>193</v>
      </c>
      <c r="H173" t="s">
        <v>123</v>
      </c>
      <c r="I173" t="str">
        <f t="shared" si="20"/>
        <v>None</v>
      </c>
      <c r="J173" t="s">
        <v>31</v>
      </c>
      <c r="K173" t="s">
        <v>44</v>
      </c>
      <c r="L173">
        <f t="shared" si="21"/>
        <v>53</v>
      </c>
      <c r="M173" t="s">
        <v>592</v>
      </c>
      <c r="N173" t="str">
        <f t="shared" si="22"/>
        <v>Other</v>
      </c>
      <c r="O173" t="s">
        <v>34</v>
      </c>
      <c r="P173" t="str">
        <f t="shared" si="23"/>
        <v>Python</v>
      </c>
      <c r="Q173">
        <v>2</v>
      </c>
      <c r="R173">
        <v>4</v>
      </c>
      <c r="S173">
        <v>6</v>
      </c>
      <c r="T173">
        <v>1</v>
      </c>
      <c r="U173">
        <v>1</v>
      </c>
      <c r="V173">
        <v>1</v>
      </c>
      <c r="W173" t="s">
        <v>35</v>
      </c>
      <c r="X173" t="s">
        <v>70</v>
      </c>
      <c r="Y173" t="s">
        <v>37</v>
      </c>
      <c r="Z173">
        <v>34</v>
      </c>
      <c r="AA173" t="s">
        <v>47</v>
      </c>
      <c r="AB173" t="str">
        <f t="shared" si="24"/>
        <v>Canada</v>
      </c>
      <c r="AC173" t="s">
        <v>262</v>
      </c>
      <c r="AD173" t="str">
        <f t="shared" si="25"/>
        <v>Associates</v>
      </c>
      <c r="AE173" t="s">
        <v>48</v>
      </c>
      <c r="AF173" t="str">
        <f t="shared" si="26"/>
        <v>Asian or Asian American</v>
      </c>
    </row>
    <row r="174" spans="1:32" x14ac:dyDescent="0.45">
      <c r="A174" t="s">
        <v>593</v>
      </c>
      <c r="B174" t="s">
        <v>25</v>
      </c>
      <c r="C174" s="3" t="s">
        <v>26</v>
      </c>
      <c r="D174" s="3">
        <f t="shared" si="18"/>
        <v>44840</v>
      </c>
      <c r="E174" t="s">
        <v>591</v>
      </c>
      <c r="F174" s="4">
        <f t="shared" si="19"/>
        <v>0.46111111111111114</v>
      </c>
      <c r="G174" t="s">
        <v>122</v>
      </c>
      <c r="H174" t="s">
        <v>30</v>
      </c>
      <c r="I174" t="str">
        <f t="shared" si="20"/>
        <v>Data Analyst</v>
      </c>
      <c r="J174" t="s">
        <v>43</v>
      </c>
      <c r="K174" t="s">
        <v>63</v>
      </c>
      <c r="L174">
        <f t="shared" si="21"/>
        <v>187.5</v>
      </c>
      <c r="M174" t="s">
        <v>103</v>
      </c>
      <c r="N174" t="str">
        <f t="shared" si="22"/>
        <v>Tech</v>
      </c>
      <c r="O174" t="s">
        <v>34</v>
      </c>
      <c r="P174" t="str">
        <f t="shared" si="23"/>
        <v>Python</v>
      </c>
      <c r="Q174">
        <v>10</v>
      </c>
      <c r="R174">
        <v>10</v>
      </c>
      <c r="S174">
        <v>10</v>
      </c>
      <c r="T174">
        <v>8</v>
      </c>
      <c r="U174">
        <v>10</v>
      </c>
      <c r="V174">
        <v>10</v>
      </c>
      <c r="W174" t="s">
        <v>55</v>
      </c>
      <c r="X174" t="s">
        <v>56</v>
      </c>
      <c r="Y174" t="s">
        <v>37</v>
      </c>
      <c r="Z174">
        <v>28</v>
      </c>
      <c r="AA174" t="s">
        <v>38</v>
      </c>
      <c r="AB174" t="str">
        <f t="shared" si="24"/>
        <v>United States</v>
      </c>
      <c r="AC174" t="s">
        <v>237</v>
      </c>
      <c r="AD174" t="str">
        <f t="shared" si="25"/>
        <v>Bachelors</v>
      </c>
      <c r="AE174" t="s">
        <v>48</v>
      </c>
      <c r="AF174" t="str">
        <f t="shared" si="26"/>
        <v>Asian or Asian American</v>
      </c>
    </row>
    <row r="175" spans="1:32" x14ac:dyDescent="0.45">
      <c r="A175" t="s">
        <v>594</v>
      </c>
      <c r="B175" t="s">
        <v>25</v>
      </c>
      <c r="C175" s="3" t="s">
        <v>26</v>
      </c>
      <c r="D175" s="3">
        <f t="shared" si="18"/>
        <v>44840</v>
      </c>
      <c r="E175" t="s">
        <v>595</v>
      </c>
      <c r="F175" s="4">
        <f t="shared" si="19"/>
        <v>0.46458333333333335</v>
      </c>
      <c r="G175" t="s">
        <v>68</v>
      </c>
      <c r="H175" t="s">
        <v>77</v>
      </c>
      <c r="I175" t="str">
        <f t="shared" si="20"/>
        <v>Data Scientist</v>
      </c>
      <c r="J175" t="s">
        <v>31</v>
      </c>
      <c r="K175" t="s">
        <v>82</v>
      </c>
      <c r="L175">
        <f t="shared" si="21"/>
        <v>137.5</v>
      </c>
      <c r="M175" t="s">
        <v>90</v>
      </c>
      <c r="N175" t="str">
        <f t="shared" si="22"/>
        <v>Telecommunication</v>
      </c>
      <c r="O175" t="s">
        <v>34</v>
      </c>
      <c r="P175" t="str">
        <f t="shared" si="23"/>
        <v>Python</v>
      </c>
      <c r="Q175">
        <v>2</v>
      </c>
      <c r="R175">
        <v>4</v>
      </c>
      <c r="S175">
        <v>1</v>
      </c>
      <c r="T175">
        <v>3</v>
      </c>
      <c r="U175">
        <v>1</v>
      </c>
      <c r="V175">
        <v>7</v>
      </c>
      <c r="W175" t="s">
        <v>85</v>
      </c>
      <c r="X175" t="s">
        <v>70</v>
      </c>
      <c r="Y175" t="s">
        <v>37</v>
      </c>
      <c r="Z175">
        <v>27</v>
      </c>
      <c r="AA175" t="s">
        <v>147</v>
      </c>
      <c r="AB175" t="str">
        <f t="shared" si="24"/>
        <v>India</v>
      </c>
      <c r="AC175" t="s">
        <v>237</v>
      </c>
      <c r="AD175" t="str">
        <f t="shared" si="25"/>
        <v>Bachelors</v>
      </c>
      <c r="AE175" t="s">
        <v>200</v>
      </c>
      <c r="AF175" t="str">
        <f t="shared" si="26"/>
        <v>Other</v>
      </c>
    </row>
    <row r="176" spans="1:32" x14ac:dyDescent="0.45">
      <c r="A176" t="s">
        <v>596</v>
      </c>
      <c r="B176" t="s">
        <v>25</v>
      </c>
      <c r="C176" s="3" t="s">
        <v>26</v>
      </c>
      <c r="D176" s="3">
        <f t="shared" si="18"/>
        <v>44840</v>
      </c>
      <c r="E176" t="s">
        <v>595</v>
      </c>
      <c r="F176" s="4">
        <f t="shared" si="19"/>
        <v>0.46458333333333335</v>
      </c>
      <c r="G176" t="s">
        <v>135</v>
      </c>
      <c r="H176" t="s">
        <v>52</v>
      </c>
      <c r="I176" t="str">
        <f t="shared" si="20"/>
        <v>Data Engineer</v>
      </c>
      <c r="J176" t="s">
        <v>31</v>
      </c>
      <c r="K176" t="s">
        <v>44</v>
      </c>
      <c r="L176">
        <f t="shared" si="21"/>
        <v>53</v>
      </c>
      <c r="M176" t="s">
        <v>45</v>
      </c>
      <c r="N176" t="str">
        <f t="shared" si="22"/>
        <v>Finance</v>
      </c>
      <c r="O176" t="s">
        <v>34</v>
      </c>
      <c r="P176" t="str">
        <f t="shared" si="23"/>
        <v>Python</v>
      </c>
      <c r="Q176">
        <v>2</v>
      </c>
      <c r="R176">
        <v>4</v>
      </c>
      <c r="S176">
        <v>5</v>
      </c>
      <c r="T176">
        <v>5</v>
      </c>
      <c r="U176">
        <v>4</v>
      </c>
      <c r="V176">
        <v>6</v>
      </c>
      <c r="W176" t="s">
        <v>69</v>
      </c>
      <c r="X176" t="s">
        <v>70</v>
      </c>
      <c r="Y176" t="s">
        <v>37</v>
      </c>
      <c r="Z176">
        <v>22</v>
      </c>
      <c r="AA176" t="s">
        <v>38</v>
      </c>
      <c r="AB176" t="str">
        <f t="shared" si="24"/>
        <v>United States</v>
      </c>
      <c r="AC176" t="s">
        <v>237</v>
      </c>
      <c r="AD176" t="str">
        <f t="shared" si="25"/>
        <v>Bachelors</v>
      </c>
      <c r="AE176" t="s">
        <v>39</v>
      </c>
      <c r="AF176" t="str">
        <f t="shared" si="26"/>
        <v>White or Caucasian</v>
      </c>
    </row>
    <row r="177" spans="1:32" x14ac:dyDescent="0.45">
      <c r="A177" t="s">
        <v>597</v>
      </c>
      <c r="B177" t="s">
        <v>25</v>
      </c>
      <c r="C177" s="3" t="s">
        <v>26</v>
      </c>
      <c r="D177" s="3">
        <f t="shared" si="18"/>
        <v>44840</v>
      </c>
      <c r="E177" t="s">
        <v>598</v>
      </c>
      <c r="F177" s="4">
        <f t="shared" si="19"/>
        <v>0.46597222222222223</v>
      </c>
      <c r="G177" t="s">
        <v>283</v>
      </c>
      <c r="H177" t="s">
        <v>30</v>
      </c>
      <c r="I177" t="str">
        <f t="shared" si="20"/>
        <v>Data Analyst</v>
      </c>
      <c r="J177" t="s">
        <v>43</v>
      </c>
      <c r="K177" t="s">
        <v>94</v>
      </c>
      <c r="L177">
        <f t="shared" si="21"/>
        <v>75.5</v>
      </c>
      <c r="M177" t="s">
        <v>33</v>
      </c>
      <c r="N177" t="str">
        <f t="shared" si="22"/>
        <v>Healthcare</v>
      </c>
      <c r="O177" t="s">
        <v>34</v>
      </c>
      <c r="P177" t="str">
        <f t="shared" si="23"/>
        <v>Python</v>
      </c>
      <c r="Q177">
        <v>3</v>
      </c>
      <c r="R177">
        <v>3</v>
      </c>
      <c r="S177">
        <v>4</v>
      </c>
      <c r="T177">
        <v>1</v>
      </c>
      <c r="U177">
        <v>2</v>
      </c>
      <c r="V177">
        <v>2</v>
      </c>
      <c r="W177" t="s">
        <v>85</v>
      </c>
      <c r="X177" t="s">
        <v>70</v>
      </c>
      <c r="Y177" t="s">
        <v>37</v>
      </c>
      <c r="Z177">
        <v>29</v>
      </c>
      <c r="AA177" t="s">
        <v>38</v>
      </c>
      <c r="AB177" t="str">
        <f t="shared" si="24"/>
        <v>United States</v>
      </c>
      <c r="AC177" t="s">
        <v>240</v>
      </c>
      <c r="AD177" t="str">
        <f t="shared" si="25"/>
        <v>Masters</v>
      </c>
      <c r="AE177" t="s">
        <v>39</v>
      </c>
      <c r="AF177" t="str">
        <f t="shared" si="26"/>
        <v>White or Caucasian</v>
      </c>
    </row>
    <row r="178" spans="1:32" x14ac:dyDescent="0.45">
      <c r="A178" t="s">
        <v>599</v>
      </c>
      <c r="B178" t="s">
        <v>25</v>
      </c>
      <c r="C178" s="3" t="s">
        <v>26</v>
      </c>
      <c r="D178" s="3">
        <f t="shared" si="18"/>
        <v>44840</v>
      </c>
      <c r="E178" t="s">
        <v>600</v>
      </c>
      <c r="F178" s="4">
        <f t="shared" si="19"/>
        <v>0.46736111111111112</v>
      </c>
      <c r="G178" t="s">
        <v>313</v>
      </c>
      <c r="H178" t="s">
        <v>30</v>
      </c>
      <c r="I178" t="str">
        <f t="shared" si="20"/>
        <v>Data Analyst</v>
      </c>
      <c r="J178" t="s">
        <v>43</v>
      </c>
      <c r="K178" t="s">
        <v>94</v>
      </c>
      <c r="L178">
        <f t="shared" si="21"/>
        <v>75.5</v>
      </c>
      <c r="M178" t="s">
        <v>33</v>
      </c>
      <c r="N178" t="str">
        <f t="shared" si="22"/>
        <v>Healthcare</v>
      </c>
      <c r="O178" t="s">
        <v>34</v>
      </c>
      <c r="P178" t="str">
        <f t="shared" si="23"/>
        <v>Python</v>
      </c>
      <c r="Q178">
        <v>8</v>
      </c>
      <c r="R178">
        <v>10</v>
      </c>
      <c r="S178">
        <v>10</v>
      </c>
      <c r="T178">
        <v>8</v>
      </c>
      <c r="U178">
        <v>5</v>
      </c>
      <c r="V178">
        <v>7</v>
      </c>
      <c r="W178" t="s">
        <v>85</v>
      </c>
      <c r="X178" t="s">
        <v>56</v>
      </c>
      <c r="Y178" t="s">
        <v>65</v>
      </c>
      <c r="Z178">
        <v>31</v>
      </c>
      <c r="AA178" t="s">
        <v>38</v>
      </c>
      <c r="AB178" t="str">
        <f t="shared" si="24"/>
        <v>United States</v>
      </c>
      <c r="AC178" t="s">
        <v>240</v>
      </c>
      <c r="AD178" t="str">
        <f t="shared" si="25"/>
        <v>Masters</v>
      </c>
      <c r="AE178" t="s">
        <v>39</v>
      </c>
      <c r="AF178" t="str">
        <f t="shared" si="26"/>
        <v>White or Caucasian</v>
      </c>
    </row>
    <row r="179" spans="1:32" x14ac:dyDescent="0.45">
      <c r="A179" t="s">
        <v>601</v>
      </c>
      <c r="B179" t="s">
        <v>25</v>
      </c>
      <c r="C179" s="3" t="s">
        <v>26</v>
      </c>
      <c r="D179" s="3">
        <f t="shared" si="18"/>
        <v>44840</v>
      </c>
      <c r="E179" t="s">
        <v>600</v>
      </c>
      <c r="F179" s="4">
        <f t="shared" si="19"/>
        <v>0.46736111111111112</v>
      </c>
      <c r="G179" t="s">
        <v>504</v>
      </c>
      <c r="H179" t="s">
        <v>30</v>
      </c>
      <c r="I179" t="str">
        <f t="shared" si="20"/>
        <v>Data Analyst</v>
      </c>
      <c r="J179" t="s">
        <v>43</v>
      </c>
      <c r="K179" t="s">
        <v>94</v>
      </c>
      <c r="L179">
        <f t="shared" si="21"/>
        <v>75.5</v>
      </c>
      <c r="M179" t="s">
        <v>103</v>
      </c>
      <c r="N179" t="str">
        <f t="shared" si="22"/>
        <v>Tech</v>
      </c>
      <c r="O179" t="s">
        <v>34</v>
      </c>
      <c r="P179" t="str">
        <f t="shared" si="23"/>
        <v>Python</v>
      </c>
      <c r="Q179">
        <v>4</v>
      </c>
      <c r="R179">
        <v>5</v>
      </c>
      <c r="S179">
        <v>5</v>
      </c>
      <c r="T179">
        <v>5</v>
      </c>
      <c r="U179">
        <v>4</v>
      </c>
      <c r="V179">
        <v>4</v>
      </c>
      <c r="W179" t="s">
        <v>55</v>
      </c>
      <c r="X179" t="s">
        <v>36</v>
      </c>
      <c r="Y179" t="s">
        <v>37</v>
      </c>
      <c r="Z179">
        <v>28</v>
      </c>
      <c r="AA179" t="s">
        <v>38</v>
      </c>
      <c r="AB179" t="str">
        <f t="shared" si="24"/>
        <v>United States</v>
      </c>
      <c r="AC179" t="s">
        <v>237</v>
      </c>
      <c r="AD179" t="str">
        <f t="shared" si="25"/>
        <v>Bachelors</v>
      </c>
      <c r="AE179" t="s">
        <v>39</v>
      </c>
      <c r="AF179" t="str">
        <f t="shared" si="26"/>
        <v>White or Caucasian</v>
      </c>
    </row>
    <row r="180" spans="1:32" x14ac:dyDescent="0.45">
      <c r="A180" t="s">
        <v>602</v>
      </c>
      <c r="B180" t="s">
        <v>25</v>
      </c>
      <c r="C180" s="3" t="s">
        <v>26</v>
      </c>
      <c r="D180" s="3">
        <f t="shared" si="18"/>
        <v>44840</v>
      </c>
      <c r="E180" t="s">
        <v>603</v>
      </c>
      <c r="F180" s="4">
        <f t="shared" si="19"/>
        <v>0.46805555555555556</v>
      </c>
      <c r="G180" t="s">
        <v>507</v>
      </c>
      <c r="H180" t="s">
        <v>123</v>
      </c>
      <c r="I180" t="str">
        <f t="shared" si="20"/>
        <v>None</v>
      </c>
      <c r="J180" t="s">
        <v>43</v>
      </c>
      <c r="K180" t="s">
        <v>53</v>
      </c>
      <c r="L180">
        <f t="shared" si="21"/>
        <v>20</v>
      </c>
      <c r="M180" t="s">
        <v>33</v>
      </c>
      <c r="N180" t="str">
        <f t="shared" si="22"/>
        <v>Healthcare</v>
      </c>
      <c r="O180" t="s">
        <v>34</v>
      </c>
      <c r="P180" t="str">
        <f t="shared" si="23"/>
        <v>Python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85</v>
      </c>
      <c r="X180" t="s">
        <v>56</v>
      </c>
      <c r="Y180" t="s">
        <v>37</v>
      </c>
      <c r="Z180">
        <v>24</v>
      </c>
      <c r="AA180" t="s">
        <v>38</v>
      </c>
      <c r="AB180" t="str">
        <f t="shared" si="24"/>
        <v>United States</v>
      </c>
      <c r="AC180" t="s">
        <v>240</v>
      </c>
      <c r="AD180" t="str">
        <f t="shared" si="25"/>
        <v>Masters</v>
      </c>
      <c r="AE180" t="s">
        <v>48</v>
      </c>
      <c r="AF180" t="str">
        <f t="shared" si="26"/>
        <v>Asian or Asian American</v>
      </c>
    </row>
    <row r="181" spans="1:32" x14ac:dyDescent="0.45">
      <c r="A181" t="s">
        <v>604</v>
      </c>
      <c r="B181" t="s">
        <v>25</v>
      </c>
      <c r="C181" s="3" t="s">
        <v>26</v>
      </c>
      <c r="D181" s="3">
        <f t="shared" si="18"/>
        <v>44840</v>
      </c>
      <c r="E181" t="s">
        <v>605</v>
      </c>
      <c r="F181" s="4">
        <f t="shared" si="19"/>
        <v>0.46875</v>
      </c>
      <c r="G181" t="s">
        <v>322</v>
      </c>
      <c r="H181" t="s">
        <v>30</v>
      </c>
      <c r="I181" t="str">
        <f t="shared" si="20"/>
        <v>Data Analyst</v>
      </c>
      <c r="J181" t="s">
        <v>43</v>
      </c>
      <c r="K181" t="s">
        <v>87</v>
      </c>
      <c r="L181">
        <f t="shared" si="21"/>
        <v>95.5</v>
      </c>
      <c r="M181" t="s">
        <v>606</v>
      </c>
      <c r="N181" t="str">
        <f t="shared" si="22"/>
        <v>Other</v>
      </c>
      <c r="O181" t="s">
        <v>607</v>
      </c>
      <c r="P181" t="str">
        <f t="shared" si="23"/>
        <v>Other</v>
      </c>
      <c r="Q181">
        <v>4</v>
      </c>
      <c r="R181">
        <v>5</v>
      </c>
      <c r="S181">
        <v>3</v>
      </c>
      <c r="T181">
        <v>4</v>
      </c>
      <c r="U181">
        <v>2</v>
      </c>
      <c r="V181">
        <v>3</v>
      </c>
      <c r="W181" t="s">
        <v>55</v>
      </c>
      <c r="X181" t="s">
        <v>114</v>
      </c>
      <c r="Y181" t="s">
        <v>37</v>
      </c>
      <c r="Z181">
        <v>34</v>
      </c>
      <c r="AA181" t="s">
        <v>38</v>
      </c>
      <c r="AB181" t="str">
        <f t="shared" si="24"/>
        <v>United States</v>
      </c>
      <c r="AC181" t="s">
        <v>240</v>
      </c>
      <c r="AD181" t="str">
        <f t="shared" si="25"/>
        <v>Masters</v>
      </c>
      <c r="AE181" t="s">
        <v>39</v>
      </c>
      <c r="AF181" t="str">
        <f t="shared" si="26"/>
        <v>White or Caucasian</v>
      </c>
    </row>
    <row r="182" spans="1:32" x14ac:dyDescent="0.45">
      <c r="A182" t="s">
        <v>608</v>
      </c>
      <c r="B182" t="s">
        <v>25</v>
      </c>
      <c r="C182" s="3" t="s">
        <v>26</v>
      </c>
      <c r="D182" s="3">
        <f t="shared" si="18"/>
        <v>44840</v>
      </c>
      <c r="E182" t="s">
        <v>609</v>
      </c>
      <c r="F182" s="4">
        <f t="shared" si="19"/>
        <v>0.47083333333333333</v>
      </c>
      <c r="G182" t="s">
        <v>490</v>
      </c>
      <c r="H182" t="s">
        <v>52</v>
      </c>
      <c r="I182" t="str">
        <f t="shared" si="20"/>
        <v>Data Engineer</v>
      </c>
      <c r="J182" t="s">
        <v>43</v>
      </c>
      <c r="K182" t="s">
        <v>87</v>
      </c>
      <c r="L182">
        <f t="shared" si="21"/>
        <v>95.5</v>
      </c>
      <c r="M182" t="s">
        <v>103</v>
      </c>
      <c r="N182" t="str">
        <f t="shared" si="22"/>
        <v>Tech</v>
      </c>
      <c r="O182" t="s">
        <v>34</v>
      </c>
      <c r="P182" t="str">
        <f t="shared" si="23"/>
        <v>Python</v>
      </c>
      <c r="Q182">
        <v>5</v>
      </c>
      <c r="R182">
        <v>3</v>
      </c>
      <c r="S182">
        <v>5</v>
      </c>
      <c r="T182">
        <v>5</v>
      </c>
      <c r="U182">
        <v>4</v>
      </c>
      <c r="V182">
        <v>5</v>
      </c>
      <c r="W182" t="s">
        <v>69</v>
      </c>
      <c r="X182" t="s">
        <v>70</v>
      </c>
      <c r="Y182" t="s">
        <v>37</v>
      </c>
      <c r="Z182">
        <v>23</v>
      </c>
      <c r="AA182" t="s">
        <v>38</v>
      </c>
      <c r="AB182" t="str">
        <f t="shared" si="24"/>
        <v>United States</v>
      </c>
      <c r="AC182" t="s">
        <v>237</v>
      </c>
      <c r="AD182" t="str">
        <f t="shared" si="25"/>
        <v>Bachelors</v>
      </c>
      <c r="AE182" t="s">
        <v>39</v>
      </c>
      <c r="AF182" t="str">
        <f t="shared" si="26"/>
        <v>White or Caucasian</v>
      </c>
    </row>
    <row r="183" spans="1:32" x14ac:dyDescent="0.45">
      <c r="A183" t="s">
        <v>610</v>
      </c>
      <c r="B183" t="s">
        <v>25</v>
      </c>
      <c r="C183" s="3" t="s">
        <v>26</v>
      </c>
      <c r="D183" s="3">
        <f t="shared" si="18"/>
        <v>44840</v>
      </c>
      <c r="E183" t="s">
        <v>609</v>
      </c>
      <c r="F183" s="4">
        <f t="shared" si="19"/>
        <v>0.47083333333333333</v>
      </c>
      <c r="G183" t="s">
        <v>173</v>
      </c>
      <c r="H183" t="s">
        <v>123</v>
      </c>
      <c r="I183" t="str">
        <f t="shared" si="20"/>
        <v>None</v>
      </c>
      <c r="J183" t="s">
        <v>43</v>
      </c>
      <c r="K183" t="s">
        <v>44</v>
      </c>
      <c r="L183">
        <f t="shared" si="21"/>
        <v>53</v>
      </c>
      <c r="M183" t="s">
        <v>113</v>
      </c>
      <c r="N183" t="str">
        <f t="shared" si="22"/>
        <v>Construction</v>
      </c>
      <c r="O183" t="s">
        <v>611</v>
      </c>
      <c r="P183" t="str">
        <f t="shared" si="23"/>
        <v>Other</v>
      </c>
      <c r="Q183">
        <v>10</v>
      </c>
      <c r="R183">
        <v>4</v>
      </c>
      <c r="S183">
        <v>10</v>
      </c>
      <c r="T183">
        <v>10</v>
      </c>
      <c r="U183">
        <v>4</v>
      </c>
      <c r="V183">
        <v>10</v>
      </c>
      <c r="W183" t="s">
        <v>85</v>
      </c>
      <c r="X183" t="s">
        <v>36</v>
      </c>
      <c r="Y183" t="s">
        <v>37</v>
      </c>
      <c r="Z183">
        <v>32</v>
      </c>
      <c r="AA183" t="s">
        <v>612</v>
      </c>
      <c r="AB183" t="str">
        <f t="shared" si="24"/>
        <v>Other</v>
      </c>
      <c r="AC183" t="s">
        <v>240</v>
      </c>
      <c r="AD183" t="str">
        <f t="shared" si="25"/>
        <v>Masters</v>
      </c>
      <c r="AE183" t="s">
        <v>39</v>
      </c>
      <c r="AF183" t="str">
        <f t="shared" si="26"/>
        <v>White or Caucasian</v>
      </c>
    </row>
    <row r="184" spans="1:32" x14ac:dyDescent="0.45">
      <c r="A184" t="s">
        <v>613</v>
      </c>
      <c r="B184" t="s">
        <v>25</v>
      </c>
      <c r="C184" s="3" t="s">
        <v>26</v>
      </c>
      <c r="D184" s="3">
        <f t="shared" si="18"/>
        <v>44840</v>
      </c>
      <c r="E184" t="s">
        <v>614</v>
      </c>
      <c r="F184" s="4">
        <f t="shared" si="19"/>
        <v>0.47222222222222221</v>
      </c>
      <c r="G184" t="s">
        <v>615</v>
      </c>
      <c r="H184" t="s">
        <v>30</v>
      </c>
      <c r="I184" t="str">
        <f t="shared" si="20"/>
        <v>Data Analyst</v>
      </c>
      <c r="J184" t="s">
        <v>31</v>
      </c>
      <c r="K184" t="s">
        <v>53</v>
      </c>
      <c r="L184">
        <f t="shared" si="21"/>
        <v>20</v>
      </c>
      <c r="M184" t="s">
        <v>33</v>
      </c>
      <c r="N184" t="str">
        <f t="shared" si="22"/>
        <v>Healthcare</v>
      </c>
      <c r="O184" t="s">
        <v>46</v>
      </c>
      <c r="P184" t="str">
        <f t="shared" si="23"/>
        <v>R</v>
      </c>
      <c r="Q184">
        <v>6</v>
      </c>
      <c r="R184">
        <v>8</v>
      </c>
      <c r="S184">
        <v>6</v>
      </c>
      <c r="T184">
        <v>6</v>
      </c>
      <c r="U184">
        <v>8</v>
      </c>
      <c r="V184">
        <v>10</v>
      </c>
      <c r="W184" t="s">
        <v>55</v>
      </c>
      <c r="X184" t="s">
        <v>36</v>
      </c>
      <c r="Y184" t="s">
        <v>37</v>
      </c>
      <c r="Z184">
        <v>29</v>
      </c>
      <c r="AA184" t="s">
        <v>104</v>
      </c>
      <c r="AB184" t="str">
        <f t="shared" si="24"/>
        <v>Other</v>
      </c>
      <c r="AC184" t="s">
        <v>227</v>
      </c>
      <c r="AD184" t="str">
        <f t="shared" si="25"/>
        <v>High School</v>
      </c>
      <c r="AE184" t="s">
        <v>91</v>
      </c>
      <c r="AF184" t="str">
        <f t="shared" si="26"/>
        <v>Hispanic or Latino</v>
      </c>
    </row>
    <row r="185" spans="1:32" x14ac:dyDescent="0.45">
      <c r="A185" t="s">
        <v>616</v>
      </c>
      <c r="B185" t="s">
        <v>25</v>
      </c>
      <c r="C185" s="3" t="s">
        <v>26</v>
      </c>
      <c r="D185" s="3">
        <f t="shared" si="18"/>
        <v>44840</v>
      </c>
      <c r="E185" t="s">
        <v>617</v>
      </c>
      <c r="F185" s="4">
        <f t="shared" si="19"/>
        <v>0.47361111111111109</v>
      </c>
      <c r="G185" t="s">
        <v>504</v>
      </c>
      <c r="H185" t="s">
        <v>30</v>
      </c>
      <c r="I185" t="str">
        <f t="shared" si="20"/>
        <v>Data Analyst</v>
      </c>
      <c r="J185" t="s">
        <v>31</v>
      </c>
      <c r="K185" t="s">
        <v>53</v>
      </c>
      <c r="L185">
        <f t="shared" si="21"/>
        <v>20</v>
      </c>
      <c r="M185" t="s">
        <v>108</v>
      </c>
      <c r="N185" t="str">
        <f t="shared" si="22"/>
        <v>Education</v>
      </c>
      <c r="O185" t="s">
        <v>34</v>
      </c>
      <c r="P185" t="str">
        <f t="shared" si="23"/>
        <v>Python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35</v>
      </c>
      <c r="X185" t="s">
        <v>70</v>
      </c>
      <c r="Y185" t="s">
        <v>37</v>
      </c>
      <c r="Z185">
        <v>34</v>
      </c>
      <c r="AA185" t="s">
        <v>57</v>
      </c>
      <c r="AB185" t="str">
        <f t="shared" si="24"/>
        <v>Other</v>
      </c>
      <c r="AC185" t="s">
        <v>237</v>
      </c>
      <c r="AD185" t="str">
        <f t="shared" si="25"/>
        <v>Bachelors</v>
      </c>
      <c r="AE185" t="s">
        <v>58</v>
      </c>
      <c r="AF185" t="str">
        <f t="shared" si="26"/>
        <v>Black or African American</v>
      </c>
    </row>
    <row r="186" spans="1:32" x14ac:dyDescent="0.45">
      <c r="A186" t="s">
        <v>618</v>
      </c>
      <c r="B186" t="s">
        <v>25</v>
      </c>
      <c r="C186" s="3" t="s">
        <v>26</v>
      </c>
      <c r="D186" s="3">
        <f t="shared" si="18"/>
        <v>44840</v>
      </c>
      <c r="E186" t="s">
        <v>617</v>
      </c>
      <c r="F186" s="4">
        <f t="shared" si="19"/>
        <v>0.47361111111111109</v>
      </c>
      <c r="G186" t="s">
        <v>107</v>
      </c>
      <c r="H186" t="s">
        <v>30</v>
      </c>
      <c r="I186" t="str">
        <f t="shared" si="20"/>
        <v>Data Analyst</v>
      </c>
      <c r="J186" t="s">
        <v>43</v>
      </c>
      <c r="K186" t="s">
        <v>94</v>
      </c>
      <c r="L186">
        <f t="shared" si="21"/>
        <v>75.5</v>
      </c>
      <c r="M186" t="s">
        <v>45</v>
      </c>
      <c r="N186" t="str">
        <f t="shared" si="22"/>
        <v>Finance</v>
      </c>
      <c r="O186" t="s">
        <v>34</v>
      </c>
      <c r="P186" t="str">
        <f t="shared" si="23"/>
        <v>Python</v>
      </c>
      <c r="Q186">
        <v>7</v>
      </c>
      <c r="R186">
        <v>5</v>
      </c>
      <c r="S186">
        <v>5</v>
      </c>
      <c r="T186">
        <v>7</v>
      </c>
      <c r="U186">
        <v>9</v>
      </c>
      <c r="V186">
        <v>10</v>
      </c>
      <c r="W186" t="s">
        <v>64</v>
      </c>
      <c r="X186" t="s">
        <v>36</v>
      </c>
      <c r="Y186" t="s">
        <v>37</v>
      </c>
      <c r="Z186">
        <v>24</v>
      </c>
      <c r="AA186" t="s">
        <v>109</v>
      </c>
      <c r="AB186" t="str">
        <f t="shared" si="24"/>
        <v>United Kingdom</v>
      </c>
      <c r="AC186" t="s">
        <v>237</v>
      </c>
      <c r="AD186" t="str">
        <f t="shared" si="25"/>
        <v>Bachelors</v>
      </c>
      <c r="AE186" t="s">
        <v>39</v>
      </c>
      <c r="AF186" t="str">
        <f t="shared" si="26"/>
        <v>White or Caucasian</v>
      </c>
    </row>
    <row r="187" spans="1:32" x14ac:dyDescent="0.45">
      <c r="A187" t="s">
        <v>619</v>
      </c>
      <c r="B187" t="s">
        <v>25</v>
      </c>
      <c r="C187" s="3" t="s">
        <v>26</v>
      </c>
      <c r="D187" s="3">
        <f t="shared" si="18"/>
        <v>44840</v>
      </c>
      <c r="E187" t="s">
        <v>620</v>
      </c>
      <c r="F187" s="4">
        <f t="shared" si="19"/>
        <v>0.47430555555555554</v>
      </c>
      <c r="G187" t="s">
        <v>621</v>
      </c>
      <c r="H187" t="s">
        <v>622</v>
      </c>
      <c r="I187" t="str">
        <f t="shared" si="20"/>
        <v>Other</v>
      </c>
      <c r="J187" t="s">
        <v>43</v>
      </c>
      <c r="K187" t="s">
        <v>94</v>
      </c>
      <c r="L187">
        <f t="shared" si="21"/>
        <v>75.5</v>
      </c>
      <c r="M187" t="s">
        <v>103</v>
      </c>
      <c r="N187" t="str">
        <f t="shared" si="22"/>
        <v>Tech</v>
      </c>
      <c r="O187" t="s">
        <v>34</v>
      </c>
      <c r="P187" t="str">
        <f t="shared" si="23"/>
        <v>Python</v>
      </c>
      <c r="Q187">
        <v>0</v>
      </c>
      <c r="R187">
        <v>10</v>
      </c>
      <c r="S187">
        <v>6</v>
      </c>
      <c r="T187">
        <v>0</v>
      </c>
      <c r="U187">
        <v>0</v>
      </c>
      <c r="V187">
        <v>0</v>
      </c>
      <c r="W187" t="s">
        <v>69</v>
      </c>
      <c r="X187" t="s">
        <v>70</v>
      </c>
      <c r="Y187" t="s">
        <v>37</v>
      </c>
      <c r="Z187">
        <v>30</v>
      </c>
      <c r="AA187" t="s">
        <v>38</v>
      </c>
      <c r="AB187" t="str">
        <f t="shared" si="24"/>
        <v>United States</v>
      </c>
      <c r="AC187" t="s">
        <v>237</v>
      </c>
      <c r="AD187" t="str">
        <f t="shared" si="25"/>
        <v>Bachelors</v>
      </c>
      <c r="AE187" t="s">
        <v>200</v>
      </c>
      <c r="AF187" t="str">
        <f t="shared" si="26"/>
        <v>Other</v>
      </c>
    </row>
    <row r="188" spans="1:32" x14ac:dyDescent="0.45">
      <c r="A188" t="s">
        <v>623</v>
      </c>
      <c r="B188" t="s">
        <v>25</v>
      </c>
      <c r="C188" s="3" t="s">
        <v>26</v>
      </c>
      <c r="D188" s="3">
        <f t="shared" si="18"/>
        <v>44840</v>
      </c>
      <c r="E188" t="s">
        <v>624</v>
      </c>
      <c r="F188" s="4">
        <f t="shared" si="19"/>
        <v>0.47569444444444442</v>
      </c>
      <c r="G188" t="s">
        <v>234</v>
      </c>
      <c r="H188" t="s">
        <v>625</v>
      </c>
      <c r="I188" t="str">
        <f t="shared" si="20"/>
        <v>Other</v>
      </c>
      <c r="J188" t="s">
        <v>43</v>
      </c>
      <c r="K188" t="s">
        <v>87</v>
      </c>
      <c r="L188">
        <f t="shared" si="21"/>
        <v>95.5</v>
      </c>
      <c r="M188" t="s">
        <v>626</v>
      </c>
      <c r="N188" t="str">
        <f t="shared" si="22"/>
        <v>Other</v>
      </c>
      <c r="O188" t="s">
        <v>34</v>
      </c>
      <c r="P188" t="str">
        <f t="shared" si="23"/>
        <v>Python</v>
      </c>
      <c r="Q188">
        <v>5</v>
      </c>
      <c r="R188">
        <v>5</v>
      </c>
      <c r="S188">
        <v>6</v>
      </c>
      <c r="T188">
        <v>4</v>
      </c>
      <c r="U188">
        <v>5</v>
      </c>
      <c r="V188">
        <v>5</v>
      </c>
      <c r="W188" t="s">
        <v>69</v>
      </c>
      <c r="X188" t="s">
        <v>70</v>
      </c>
      <c r="Y188" t="s">
        <v>37</v>
      </c>
      <c r="Z188">
        <v>24</v>
      </c>
      <c r="AA188" t="s">
        <v>38</v>
      </c>
      <c r="AB188" t="str">
        <f t="shared" si="24"/>
        <v>United States</v>
      </c>
      <c r="AC188" t="s">
        <v>240</v>
      </c>
      <c r="AD188" t="str">
        <f t="shared" si="25"/>
        <v>Masters</v>
      </c>
      <c r="AE188" t="s">
        <v>91</v>
      </c>
      <c r="AF188" t="str">
        <f t="shared" si="26"/>
        <v>Hispanic or Latino</v>
      </c>
    </row>
    <row r="189" spans="1:32" x14ac:dyDescent="0.45">
      <c r="A189" t="s">
        <v>627</v>
      </c>
      <c r="B189" t="s">
        <v>25</v>
      </c>
      <c r="C189" s="3" t="s">
        <v>26</v>
      </c>
      <c r="D189" s="3">
        <f t="shared" si="18"/>
        <v>44840</v>
      </c>
      <c r="E189" t="s">
        <v>624</v>
      </c>
      <c r="F189" s="4">
        <f t="shared" si="19"/>
        <v>0.47569444444444442</v>
      </c>
      <c r="G189" t="s">
        <v>196</v>
      </c>
      <c r="H189" t="s">
        <v>30</v>
      </c>
      <c r="I189" t="str">
        <f t="shared" si="20"/>
        <v>Data Analyst</v>
      </c>
      <c r="J189" t="s">
        <v>31</v>
      </c>
      <c r="K189" t="s">
        <v>44</v>
      </c>
      <c r="L189">
        <f t="shared" si="21"/>
        <v>53</v>
      </c>
      <c r="M189" t="s">
        <v>151</v>
      </c>
      <c r="N189" t="str">
        <f t="shared" si="22"/>
        <v>Other</v>
      </c>
      <c r="O189" t="s">
        <v>34</v>
      </c>
      <c r="P189" t="str">
        <f t="shared" si="23"/>
        <v>Python</v>
      </c>
      <c r="Q189">
        <v>6</v>
      </c>
      <c r="R189">
        <v>8</v>
      </c>
      <c r="S189">
        <v>10</v>
      </c>
      <c r="T189">
        <v>9</v>
      </c>
      <c r="U189">
        <v>7</v>
      </c>
      <c r="V189">
        <v>9</v>
      </c>
      <c r="W189" t="s">
        <v>55</v>
      </c>
      <c r="X189" t="s">
        <v>70</v>
      </c>
      <c r="Y189" t="s">
        <v>37</v>
      </c>
      <c r="Z189">
        <v>27</v>
      </c>
      <c r="AA189" t="s">
        <v>38</v>
      </c>
      <c r="AB189" t="str">
        <f t="shared" si="24"/>
        <v>United States</v>
      </c>
      <c r="AC189" t="s">
        <v>237</v>
      </c>
      <c r="AD189" t="str">
        <f t="shared" si="25"/>
        <v>Bachelors</v>
      </c>
      <c r="AE189" t="s">
        <v>628</v>
      </c>
      <c r="AF189" t="str">
        <f t="shared" si="26"/>
        <v>Other</v>
      </c>
    </row>
    <row r="190" spans="1:32" x14ac:dyDescent="0.45">
      <c r="A190" t="s">
        <v>629</v>
      </c>
      <c r="B190" t="s">
        <v>25</v>
      </c>
      <c r="C190" s="3" t="s">
        <v>26</v>
      </c>
      <c r="D190" s="3">
        <f t="shared" si="18"/>
        <v>44840</v>
      </c>
      <c r="E190" t="s">
        <v>630</v>
      </c>
      <c r="F190" s="4">
        <f t="shared" si="19"/>
        <v>0.47847222222222224</v>
      </c>
      <c r="G190" t="s">
        <v>168</v>
      </c>
      <c r="H190" t="s">
        <v>30</v>
      </c>
      <c r="I190" t="str">
        <f t="shared" si="20"/>
        <v>Data Analyst</v>
      </c>
      <c r="J190" t="s">
        <v>43</v>
      </c>
      <c r="K190" t="s">
        <v>53</v>
      </c>
      <c r="L190">
        <f t="shared" si="21"/>
        <v>20</v>
      </c>
      <c r="M190" t="s">
        <v>45</v>
      </c>
      <c r="N190" t="str">
        <f t="shared" si="22"/>
        <v>Finance</v>
      </c>
      <c r="O190" t="s">
        <v>34</v>
      </c>
      <c r="P190" t="str">
        <f t="shared" si="23"/>
        <v>Python</v>
      </c>
      <c r="Q190">
        <v>1</v>
      </c>
      <c r="R190">
        <v>2</v>
      </c>
      <c r="S190">
        <v>4</v>
      </c>
      <c r="T190">
        <v>4</v>
      </c>
      <c r="U190">
        <v>4</v>
      </c>
      <c r="V190">
        <v>5</v>
      </c>
      <c r="W190" t="s">
        <v>85</v>
      </c>
      <c r="X190" t="s">
        <v>70</v>
      </c>
      <c r="Y190" t="s">
        <v>37</v>
      </c>
      <c r="Z190">
        <v>21</v>
      </c>
      <c r="AA190" t="s">
        <v>147</v>
      </c>
      <c r="AB190" t="str">
        <f t="shared" si="24"/>
        <v>India</v>
      </c>
      <c r="AC190" t="s">
        <v>237</v>
      </c>
      <c r="AD190" t="str">
        <f t="shared" si="25"/>
        <v>Bachelors</v>
      </c>
      <c r="AE190" t="s">
        <v>48</v>
      </c>
      <c r="AF190" t="str">
        <f t="shared" si="26"/>
        <v>Asian or Asian American</v>
      </c>
    </row>
    <row r="191" spans="1:32" x14ac:dyDescent="0.45">
      <c r="A191" t="s">
        <v>631</v>
      </c>
      <c r="B191" t="s">
        <v>25</v>
      </c>
      <c r="C191" s="3" t="s">
        <v>26</v>
      </c>
      <c r="D191" s="3">
        <f t="shared" si="18"/>
        <v>44840</v>
      </c>
      <c r="E191" t="s">
        <v>632</v>
      </c>
      <c r="F191" s="4">
        <f t="shared" si="19"/>
        <v>0.48541666666666666</v>
      </c>
      <c r="G191" t="s">
        <v>176</v>
      </c>
      <c r="H191" t="s">
        <v>30</v>
      </c>
      <c r="I191" t="str">
        <f t="shared" si="20"/>
        <v>Data Analyst</v>
      </c>
      <c r="J191" t="s">
        <v>43</v>
      </c>
      <c r="K191" t="s">
        <v>53</v>
      </c>
      <c r="L191">
        <f t="shared" si="21"/>
        <v>20</v>
      </c>
      <c r="M191" t="s">
        <v>95</v>
      </c>
      <c r="N191" t="str">
        <f t="shared" si="22"/>
        <v>Other</v>
      </c>
      <c r="O191" t="s">
        <v>34</v>
      </c>
      <c r="P191" t="str">
        <f t="shared" si="23"/>
        <v>Python</v>
      </c>
      <c r="Q191">
        <v>3</v>
      </c>
      <c r="R191">
        <v>5</v>
      </c>
      <c r="S191">
        <v>9</v>
      </c>
      <c r="T191">
        <v>9</v>
      </c>
      <c r="U191" t="s">
        <v>28</v>
      </c>
      <c r="V191">
        <v>8</v>
      </c>
      <c r="W191" t="s">
        <v>35</v>
      </c>
      <c r="X191" t="s">
        <v>633</v>
      </c>
      <c r="Y191" t="s">
        <v>37</v>
      </c>
      <c r="Z191">
        <v>31</v>
      </c>
      <c r="AA191" t="s">
        <v>634</v>
      </c>
      <c r="AB191" t="str">
        <f t="shared" si="24"/>
        <v>Other</v>
      </c>
      <c r="AC191" t="s">
        <v>240</v>
      </c>
      <c r="AD191" t="str">
        <f t="shared" si="25"/>
        <v>Masters</v>
      </c>
      <c r="AE191" t="s">
        <v>58</v>
      </c>
      <c r="AF191" t="str">
        <f t="shared" si="26"/>
        <v>Black or African American</v>
      </c>
    </row>
    <row r="192" spans="1:32" x14ac:dyDescent="0.45">
      <c r="A192" t="s">
        <v>635</v>
      </c>
      <c r="B192" t="s">
        <v>25</v>
      </c>
      <c r="C192" s="3" t="s">
        <v>26</v>
      </c>
      <c r="D192" s="3">
        <f t="shared" si="18"/>
        <v>44840</v>
      </c>
      <c r="E192" t="s">
        <v>636</v>
      </c>
      <c r="F192" s="4">
        <f t="shared" si="19"/>
        <v>0.4861111111111111</v>
      </c>
      <c r="G192" t="s">
        <v>193</v>
      </c>
      <c r="H192" t="s">
        <v>30</v>
      </c>
      <c r="I192" t="str">
        <f t="shared" si="20"/>
        <v>Data Analyst</v>
      </c>
      <c r="J192" t="s">
        <v>31</v>
      </c>
      <c r="K192" t="s">
        <v>53</v>
      </c>
      <c r="L192">
        <f t="shared" si="21"/>
        <v>20</v>
      </c>
      <c r="M192" t="s">
        <v>90</v>
      </c>
      <c r="N192" t="str">
        <f t="shared" si="22"/>
        <v>Telecommunication</v>
      </c>
      <c r="O192" t="s">
        <v>46</v>
      </c>
      <c r="P192" t="str">
        <f t="shared" si="23"/>
        <v>R</v>
      </c>
      <c r="Q192">
        <v>5</v>
      </c>
      <c r="R192">
        <v>7</v>
      </c>
      <c r="S192">
        <v>5</v>
      </c>
      <c r="T192">
        <v>5</v>
      </c>
      <c r="U192">
        <v>5</v>
      </c>
      <c r="V192">
        <v>7</v>
      </c>
      <c r="W192" t="s">
        <v>69</v>
      </c>
      <c r="X192" t="s">
        <v>70</v>
      </c>
      <c r="Y192" t="s">
        <v>37</v>
      </c>
      <c r="Z192">
        <v>41</v>
      </c>
      <c r="AA192" t="s">
        <v>444</v>
      </c>
      <c r="AB192" t="str">
        <f t="shared" si="24"/>
        <v>Other</v>
      </c>
      <c r="AC192" t="s">
        <v>237</v>
      </c>
      <c r="AD192" t="str">
        <f t="shared" si="25"/>
        <v>Bachelors</v>
      </c>
      <c r="AE192" t="s">
        <v>39</v>
      </c>
      <c r="AF192" t="str">
        <f t="shared" si="26"/>
        <v>White or Caucasian</v>
      </c>
    </row>
    <row r="193" spans="1:32" x14ac:dyDescent="0.45">
      <c r="A193" t="s">
        <v>637</v>
      </c>
      <c r="B193" t="s">
        <v>25</v>
      </c>
      <c r="C193" s="3" t="s">
        <v>26</v>
      </c>
      <c r="D193" s="3">
        <f t="shared" si="18"/>
        <v>44840</v>
      </c>
      <c r="E193" t="s">
        <v>638</v>
      </c>
      <c r="F193" s="4">
        <f t="shared" si="19"/>
        <v>0.48958333333333331</v>
      </c>
      <c r="G193" t="s">
        <v>150</v>
      </c>
      <c r="H193" t="s">
        <v>30</v>
      </c>
      <c r="I193" t="str">
        <f t="shared" si="20"/>
        <v>Data Analyst</v>
      </c>
      <c r="J193" t="s">
        <v>31</v>
      </c>
      <c r="K193" t="s">
        <v>53</v>
      </c>
      <c r="L193">
        <f t="shared" si="21"/>
        <v>20</v>
      </c>
      <c r="M193" t="s">
        <v>103</v>
      </c>
      <c r="N193" t="str">
        <f t="shared" si="22"/>
        <v>Tech</v>
      </c>
      <c r="O193" t="s">
        <v>34</v>
      </c>
      <c r="P193" t="str">
        <f t="shared" si="23"/>
        <v>Python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2</v>
      </c>
      <c r="W193" t="s">
        <v>69</v>
      </c>
      <c r="X193" t="s">
        <v>70</v>
      </c>
      <c r="Y193" t="s">
        <v>37</v>
      </c>
      <c r="Z193">
        <v>25</v>
      </c>
      <c r="AA193" t="s">
        <v>147</v>
      </c>
      <c r="AB193" t="str">
        <f t="shared" si="24"/>
        <v>India</v>
      </c>
      <c r="AC193" t="s">
        <v>237</v>
      </c>
      <c r="AD193" t="str">
        <f t="shared" si="25"/>
        <v>Bachelors</v>
      </c>
      <c r="AE193" t="s">
        <v>48</v>
      </c>
      <c r="AF193" t="str">
        <f t="shared" si="26"/>
        <v>Asian or Asian American</v>
      </c>
    </row>
    <row r="194" spans="1:32" x14ac:dyDescent="0.45">
      <c r="A194" t="s">
        <v>639</v>
      </c>
      <c r="B194" t="s">
        <v>25</v>
      </c>
      <c r="C194" s="3" t="s">
        <v>26</v>
      </c>
      <c r="D194" s="3">
        <f t="shared" si="18"/>
        <v>44840</v>
      </c>
      <c r="E194" t="s">
        <v>640</v>
      </c>
      <c r="F194" s="4">
        <f t="shared" si="19"/>
        <v>0.49027777777777776</v>
      </c>
      <c r="G194" t="s">
        <v>641</v>
      </c>
      <c r="H194" t="s">
        <v>30</v>
      </c>
      <c r="I194" t="str">
        <f t="shared" si="20"/>
        <v>Data Analyst</v>
      </c>
      <c r="J194" t="s">
        <v>43</v>
      </c>
      <c r="K194" t="s">
        <v>53</v>
      </c>
      <c r="L194">
        <f t="shared" si="21"/>
        <v>20</v>
      </c>
      <c r="M194" t="s">
        <v>45</v>
      </c>
      <c r="N194" t="str">
        <f t="shared" si="22"/>
        <v>Finance</v>
      </c>
      <c r="O194" t="s">
        <v>642</v>
      </c>
      <c r="P194" t="str">
        <f t="shared" si="23"/>
        <v>Other</v>
      </c>
      <c r="Q194">
        <v>4</v>
      </c>
      <c r="R194">
        <v>7</v>
      </c>
      <c r="S194">
        <v>8</v>
      </c>
      <c r="T194">
        <v>8</v>
      </c>
      <c r="U194">
        <v>8</v>
      </c>
      <c r="V194">
        <v>9</v>
      </c>
      <c r="W194" t="s">
        <v>85</v>
      </c>
      <c r="X194" t="s">
        <v>643</v>
      </c>
      <c r="Y194" t="s">
        <v>37</v>
      </c>
      <c r="Z194">
        <v>24</v>
      </c>
      <c r="AA194" t="s">
        <v>419</v>
      </c>
      <c r="AB194" t="str">
        <f t="shared" si="24"/>
        <v>Other</v>
      </c>
      <c r="AC194" t="s">
        <v>237</v>
      </c>
      <c r="AD194" t="str">
        <f t="shared" si="25"/>
        <v>Bachelors</v>
      </c>
      <c r="AE194" t="s">
        <v>58</v>
      </c>
      <c r="AF194" t="str">
        <f t="shared" si="26"/>
        <v>Black or African American</v>
      </c>
    </row>
    <row r="195" spans="1:32" x14ac:dyDescent="0.45">
      <c r="A195" t="s">
        <v>644</v>
      </c>
      <c r="B195" t="s">
        <v>25</v>
      </c>
      <c r="C195" s="3" t="s">
        <v>26</v>
      </c>
      <c r="D195" s="3">
        <f t="shared" ref="D195:D258" si="27">DATEVALUE(C195)</f>
        <v>44840</v>
      </c>
      <c r="E195" t="s">
        <v>645</v>
      </c>
      <c r="F195" s="4">
        <f t="shared" ref="F195:F258" si="28">TIMEVALUE(E195)</f>
        <v>0.4909722222222222</v>
      </c>
      <c r="G195" t="s">
        <v>646</v>
      </c>
      <c r="H195" t="s">
        <v>30</v>
      </c>
      <c r="I195" t="str">
        <f t="shared" ref="I195:I258" si="29">IF(LEFT(H195,5)="Other","Other",IF(ISNUMBER(SEARCH("None",H195)),"None",H195))</f>
        <v>Data Analyst</v>
      </c>
      <c r="J195" t="s">
        <v>43</v>
      </c>
      <c r="K195" t="s">
        <v>53</v>
      </c>
      <c r="L195">
        <f t="shared" ref="L195:L258" si="30">(VALUE(SUBSTITUTE(LEFT(K195,FIND("-",K195)-1),"k","")) + VALUE(SUBSTITUTE(MID(K195,FIND("-",K195)+1,LEN(K195)),"k","")))/2</f>
        <v>20</v>
      </c>
      <c r="M195" t="s">
        <v>45</v>
      </c>
      <c r="N195" t="str">
        <f t="shared" ref="N195:N258" si="31">IF(LEFT(M195,5)="Other","Other",IF(ISNUMBER(SEARCH("None",M195)),"None",M195))</f>
        <v>Finance</v>
      </c>
      <c r="O195" t="s">
        <v>34</v>
      </c>
      <c r="P195" t="str">
        <f t="shared" ref="P195:P258" si="32">IF(LEFT(O195,5)="Other","Other",IF(ISNUMBER(SEARCH("None",O195)),"None",O195))</f>
        <v>Python</v>
      </c>
      <c r="Q195">
        <v>6</v>
      </c>
      <c r="R195">
        <v>5</v>
      </c>
      <c r="S195">
        <v>6</v>
      </c>
      <c r="T195">
        <v>5</v>
      </c>
      <c r="U195">
        <v>6</v>
      </c>
      <c r="V195">
        <v>6</v>
      </c>
      <c r="W195" t="s">
        <v>85</v>
      </c>
      <c r="X195" t="s">
        <v>70</v>
      </c>
      <c r="Y195" t="s">
        <v>37</v>
      </c>
      <c r="Z195">
        <v>30</v>
      </c>
      <c r="AA195" t="s">
        <v>647</v>
      </c>
      <c r="AB195" t="str">
        <f t="shared" ref="AB195:AB258" si="33">IF(LEFT(AA195,5)="Other","Other",IF(ISNUMBER(SEARCH("None",AA195)),"None",AA195))</f>
        <v>Other</v>
      </c>
      <c r="AC195" t="s">
        <v>240</v>
      </c>
      <c r="AD195" t="str">
        <f t="shared" ref="AD195:AD258" si="34">IF(AC195="","none",AC195)</f>
        <v>Masters</v>
      </c>
      <c r="AE195" t="s">
        <v>648</v>
      </c>
      <c r="AF195" t="str">
        <f t="shared" ref="AF195:AF258" si="35">IF(LEFT(AE195,5)="Other","Other",IF(ISNUMBER(SEARCH("None",AE195)),"None",AE195))</f>
        <v>Other</v>
      </c>
    </row>
    <row r="196" spans="1:32" x14ac:dyDescent="0.45">
      <c r="A196" t="s">
        <v>649</v>
      </c>
      <c r="B196" t="s">
        <v>25</v>
      </c>
      <c r="C196" s="3" t="s">
        <v>26</v>
      </c>
      <c r="D196" s="3">
        <f t="shared" si="27"/>
        <v>44840</v>
      </c>
      <c r="E196" t="s">
        <v>650</v>
      </c>
      <c r="F196" s="4">
        <f t="shared" si="28"/>
        <v>0.49166666666666664</v>
      </c>
      <c r="G196" t="s">
        <v>651</v>
      </c>
      <c r="H196" t="s">
        <v>30</v>
      </c>
      <c r="I196" t="str">
        <f t="shared" si="29"/>
        <v>Data Analyst</v>
      </c>
      <c r="J196" t="s">
        <v>43</v>
      </c>
      <c r="K196" t="s">
        <v>63</v>
      </c>
      <c r="L196">
        <f t="shared" si="30"/>
        <v>187.5</v>
      </c>
      <c r="M196" t="s">
        <v>45</v>
      </c>
      <c r="N196" t="str">
        <f t="shared" si="31"/>
        <v>Finance</v>
      </c>
      <c r="O196" t="s">
        <v>376</v>
      </c>
      <c r="P196" t="str">
        <f t="shared" si="32"/>
        <v>Other</v>
      </c>
      <c r="Q196">
        <v>7</v>
      </c>
      <c r="R196">
        <v>7</v>
      </c>
      <c r="S196">
        <v>7</v>
      </c>
      <c r="T196" t="s">
        <v>28</v>
      </c>
      <c r="U196">
        <v>5</v>
      </c>
      <c r="V196">
        <v>7</v>
      </c>
      <c r="W196" t="s">
        <v>85</v>
      </c>
      <c r="X196" t="s">
        <v>56</v>
      </c>
      <c r="Y196" t="s">
        <v>37</v>
      </c>
      <c r="Z196">
        <v>33</v>
      </c>
      <c r="AA196" t="s">
        <v>38</v>
      </c>
      <c r="AB196" t="str">
        <f t="shared" si="33"/>
        <v>United States</v>
      </c>
      <c r="AC196" t="s">
        <v>237</v>
      </c>
      <c r="AD196" t="str">
        <f t="shared" si="34"/>
        <v>Bachelors</v>
      </c>
      <c r="AE196" t="s">
        <v>39</v>
      </c>
      <c r="AF196" t="str">
        <f t="shared" si="35"/>
        <v>White or Caucasian</v>
      </c>
    </row>
    <row r="197" spans="1:32" x14ac:dyDescent="0.45">
      <c r="A197" t="s">
        <v>652</v>
      </c>
      <c r="B197" t="s">
        <v>25</v>
      </c>
      <c r="C197" s="3" t="s">
        <v>26</v>
      </c>
      <c r="D197" s="3">
        <f t="shared" si="27"/>
        <v>44840</v>
      </c>
      <c r="E197" t="s">
        <v>653</v>
      </c>
      <c r="F197" s="4">
        <f t="shared" si="28"/>
        <v>0.49236111111111114</v>
      </c>
      <c r="G197" t="s">
        <v>654</v>
      </c>
      <c r="H197" t="s">
        <v>30</v>
      </c>
      <c r="I197" t="str">
        <f t="shared" si="29"/>
        <v>Data Analyst</v>
      </c>
      <c r="J197" t="s">
        <v>43</v>
      </c>
      <c r="K197" t="s">
        <v>94</v>
      </c>
      <c r="L197">
        <f t="shared" si="30"/>
        <v>75.5</v>
      </c>
      <c r="M197" t="s">
        <v>655</v>
      </c>
      <c r="N197" t="str">
        <f t="shared" si="31"/>
        <v>Other</v>
      </c>
      <c r="O197" t="s">
        <v>656</v>
      </c>
      <c r="P197" t="str">
        <f t="shared" si="32"/>
        <v>Other</v>
      </c>
      <c r="Q197">
        <v>7</v>
      </c>
      <c r="R197">
        <v>4</v>
      </c>
      <c r="S197">
        <v>10</v>
      </c>
      <c r="T197">
        <v>9</v>
      </c>
      <c r="U197">
        <v>7</v>
      </c>
      <c r="V197">
        <v>10</v>
      </c>
      <c r="W197" t="s">
        <v>69</v>
      </c>
      <c r="X197" t="s">
        <v>70</v>
      </c>
      <c r="Y197" t="s">
        <v>37</v>
      </c>
      <c r="Z197">
        <v>23</v>
      </c>
      <c r="AA197" t="s">
        <v>38</v>
      </c>
      <c r="AB197" t="str">
        <f t="shared" si="33"/>
        <v>United States</v>
      </c>
      <c r="AC197" t="s">
        <v>237</v>
      </c>
      <c r="AD197" t="str">
        <f t="shared" si="34"/>
        <v>Bachelors</v>
      </c>
      <c r="AE197" t="s">
        <v>91</v>
      </c>
      <c r="AF197" t="str">
        <f t="shared" si="35"/>
        <v>Hispanic or Latino</v>
      </c>
    </row>
    <row r="198" spans="1:32" x14ac:dyDescent="0.45">
      <c r="A198" t="s">
        <v>657</v>
      </c>
      <c r="B198" t="s">
        <v>25</v>
      </c>
      <c r="C198" s="3" t="s">
        <v>26</v>
      </c>
      <c r="D198" s="3">
        <f t="shared" si="27"/>
        <v>44840</v>
      </c>
      <c r="E198" t="s">
        <v>653</v>
      </c>
      <c r="F198" s="4">
        <f t="shared" si="28"/>
        <v>0.49236111111111114</v>
      </c>
      <c r="G198" t="s">
        <v>157</v>
      </c>
      <c r="H198" t="s">
        <v>30</v>
      </c>
      <c r="I198" t="str">
        <f t="shared" si="29"/>
        <v>Data Analyst</v>
      </c>
      <c r="J198" t="s">
        <v>31</v>
      </c>
      <c r="K198" t="s">
        <v>94</v>
      </c>
      <c r="L198">
        <f t="shared" si="30"/>
        <v>75.5</v>
      </c>
      <c r="M198" t="s">
        <v>103</v>
      </c>
      <c r="N198" t="str">
        <f t="shared" si="31"/>
        <v>Tech</v>
      </c>
      <c r="O198" t="s">
        <v>34</v>
      </c>
      <c r="P198" t="str">
        <f t="shared" si="32"/>
        <v>Python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 t="s">
        <v>69</v>
      </c>
      <c r="X198" t="s">
        <v>36</v>
      </c>
      <c r="Y198" t="s">
        <v>65</v>
      </c>
      <c r="Z198">
        <v>33</v>
      </c>
      <c r="AA198" t="s">
        <v>109</v>
      </c>
      <c r="AB198" t="str">
        <f t="shared" si="33"/>
        <v>United Kingdom</v>
      </c>
      <c r="AC198" t="s">
        <v>240</v>
      </c>
      <c r="AD198" t="str">
        <f t="shared" si="34"/>
        <v>Masters</v>
      </c>
      <c r="AE198" t="s">
        <v>48</v>
      </c>
      <c r="AF198" t="str">
        <f t="shared" si="35"/>
        <v>Asian or Asian American</v>
      </c>
    </row>
    <row r="199" spans="1:32" x14ac:dyDescent="0.45">
      <c r="A199" t="s">
        <v>658</v>
      </c>
      <c r="B199" t="s">
        <v>25</v>
      </c>
      <c r="C199" s="3" t="s">
        <v>26</v>
      </c>
      <c r="D199" s="3">
        <f t="shared" si="27"/>
        <v>44840</v>
      </c>
      <c r="E199" t="s">
        <v>659</v>
      </c>
      <c r="F199" s="4">
        <f t="shared" si="28"/>
        <v>0.49305555555555558</v>
      </c>
      <c r="G199" t="s">
        <v>436</v>
      </c>
      <c r="H199" t="s">
        <v>30</v>
      </c>
      <c r="I199" t="str">
        <f t="shared" si="29"/>
        <v>Data Analyst</v>
      </c>
      <c r="J199" t="s">
        <v>43</v>
      </c>
      <c r="K199" t="s">
        <v>32</v>
      </c>
      <c r="L199">
        <f t="shared" si="30"/>
        <v>115.5</v>
      </c>
      <c r="M199" t="s">
        <v>45</v>
      </c>
      <c r="N199" t="str">
        <f t="shared" si="31"/>
        <v>Finance</v>
      </c>
      <c r="O199" t="s">
        <v>34</v>
      </c>
      <c r="P199" t="str">
        <f t="shared" si="32"/>
        <v>Python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 t="s">
        <v>85</v>
      </c>
      <c r="X199" t="s">
        <v>70</v>
      </c>
      <c r="Y199" t="s">
        <v>37</v>
      </c>
      <c r="Z199">
        <v>25</v>
      </c>
      <c r="AA199" t="s">
        <v>38</v>
      </c>
      <c r="AB199" t="str">
        <f t="shared" si="33"/>
        <v>United States</v>
      </c>
      <c r="AC199" t="s">
        <v>237</v>
      </c>
      <c r="AD199" t="str">
        <f t="shared" si="34"/>
        <v>Bachelors</v>
      </c>
      <c r="AE199" t="s">
        <v>39</v>
      </c>
      <c r="AF199" t="str">
        <f t="shared" si="35"/>
        <v>White or Caucasian</v>
      </c>
    </row>
    <row r="200" spans="1:32" x14ac:dyDescent="0.45">
      <c r="A200" t="s">
        <v>660</v>
      </c>
      <c r="B200" t="s">
        <v>25</v>
      </c>
      <c r="C200" s="3" t="s">
        <v>26</v>
      </c>
      <c r="D200" s="3">
        <f t="shared" si="27"/>
        <v>44840</v>
      </c>
      <c r="E200" t="s">
        <v>661</v>
      </c>
      <c r="F200" s="4">
        <f t="shared" si="28"/>
        <v>0.49375000000000002</v>
      </c>
      <c r="G200" t="s">
        <v>662</v>
      </c>
      <c r="H200" t="s">
        <v>30</v>
      </c>
      <c r="I200" t="str">
        <f t="shared" si="29"/>
        <v>Data Analyst</v>
      </c>
      <c r="J200" t="s">
        <v>43</v>
      </c>
      <c r="K200" t="s">
        <v>53</v>
      </c>
      <c r="L200">
        <f t="shared" si="30"/>
        <v>20</v>
      </c>
      <c r="M200" t="s">
        <v>663</v>
      </c>
      <c r="N200" t="str">
        <f t="shared" si="31"/>
        <v>Other</v>
      </c>
      <c r="O200" t="s">
        <v>34</v>
      </c>
      <c r="P200" t="str">
        <f t="shared" si="32"/>
        <v>Python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 t="s">
        <v>85</v>
      </c>
      <c r="X200" t="s">
        <v>36</v>
      </c>
      <c r="Y200" t="s">
        <v>65</v>
      </c>
      <c r="Z200">
        <v>27</v>
      </c>
      <c r="AA200" t="s">
        <v>664</v>
      </c>
      <c r="AB200" t="str">
        <f t="shared" si="33"/>
        <v>Other</v>
      </c>
      <c r="AC200" t="s">
        <v>240</v>
      </c>
      <c r="AD200" t="str">
        <f t="shared" si="34"/>
        <v>Masters</v>
      </c>
      <c r="AE200" t="s">
        <v>39</v>
      </c>
      <c r="AF200" t="str">
        <f t="shared" si="35"/>
        <v>White or Caucasian</v>
      </c>
    </row>
    <row r="201" spans="1:32" x14ac:dyDescent="0.45">
      <c r="A201" t="s">
        <v>665</v>
      </c>
      <c r="B201" t="s">
        <v>25</v>
      </c>
      <c r="C201" s="3" t="s">
        <v>26</v>
      </c>
      <c r="D201" s="3">
        <f t="shared" si="27"/>
        <v>44840</v>
      </c>
      <c r="E201" t="s">
        <v>666</v>
      </c>
      <c r="F201" s="4">
        <f t="shared" si="28"/>
        <v>0.49513888888888891</v>
      </c>
      <c r="G201" t="s">
        <v>375</v>
      </c>
      <c r="H201" t="s">
        <v>30</v>
      </c>
      <c r="I201" t="str">
        <f t="shared" si="29"/>
        <v>Data Analyst</v>
      </c>
      <c r="J201" t="s">
        <v>31</v>
      </c>
      <c r="K201" t="s">
        <v>53</v>
      </c>
      <c r="L201">
        <f t="shared" si="30"/>
        <v>20</v>
      </c>
      <c r="M201" t="s">
        <v>45</v>
      </c>
      <c r="N201" t="str">
        <f t="shared" si="31"/>
        <v>Finance</v>
      </c>
      <c r="O201" t="s">
        <v>257</v>
      </c>
      <c r="P201" t="str">
        <f t="shared" si="32"/>
        <v>C/C++</v>
      </c>
      <c r="Q201">
        <v>5</v>
      </c>
      <c r="R201">
        <v>10</v>
      </c>
      <c r="S201">
        <v>10</v>
      </c>
      <c r="T201">
        <v>8</v>
      </c>
      <c r="U201">
        <v>10</v>
      </c>
      <c r="V201">
        <v>10</v>
      </c>
      <c r="W201" t="s">
        <v>64</v>
      </c>
      <c r="X201" t="s">
        <v>56</v>
      </c>
      <c r="Y201" t="s">
        <v>37</v>
      </c>
      <c r="Z201">
        <v>30</v>
      </c>
      <c r="AA201" t="s">
        <v>109</v>
      </c>
      <c r="AB201" t="str">
        <f t="shared" si="33"/>
        <v>United Kingdom</v>
      </c>
      <c r="AC201" t="s">
        <v>237</v>
      </c>
      <c r="AD201" t="str">
        <f t="shared" si="34"/>
        <v>Bachelors</v>
      </c>
      <c r="AE201" t="s">
        <v>39</v>
      </c>
      <c r="AF201" t="str">
        <f t="shared" si="35"/>
        <v>White or Caucasian</v>
      </c>
    </row>
    <row r="202" spans="1:32" x14ac:dyDescent="0.45">
      <c r="A202" t="s">
        <v>667</v>
      </c>
      <c r="B202" t="s">
        <v>25</v>
      </c>
      <c r="C202" s="3" t="s">
        <v>26</v>
      </c>
      <c r="D202" s="3">
        <f t="shared" si="27"/>
        <v>44840</v>
      </c>
      <c r="E202" t="s">
        <v>668</v>
      </c>
      <c r="F202" s="4">
        <f t="shared" si="28"/>
        <v>0.49583333333333335</v>
      </c>
      <c r="G202" t="s">
        <v>304</v>
      </c>
      <c r="H202" t="s">
        <v>30</v>
      </c>
      <c r="I202" t="str">
        <f t="shared" si="29"/>
        <v>Data Analyst</v>
      </c>
      <c r="J202" t="s">
        <v>31</v>
      </c>
      <c r="K202" t="s">
        <v>53</v>
      </c>
      <c r="L202">
        <f t="shared" si="30"/>
        <v>20</v>
      </c>
      <c r="M202" t="s">
        <v>103</v>
      </c>
      <c r="N202" t="str">
        <f t="shared" si="31"/>
        <v>Tech</v>
      </c>
      <c r="O202" t="s">
        <v>34</v>
      </c>
      <c r="P202" t="str">
        <f t="shared" si="32"/>
        <v>Python</v>
      </c>
      <c r="Q202">
        <v>0</v>
      </c>
      <c r="R202">
        <v>3</v>
      </c>
      <c r="S202" t="s">
        <v>28</v>
      </c>
      <c r="T202" t="s">
        <v>28</v>
      </c>
      <c r="U202" t="s">
        <v>28</v>
      </c>
      <c r="V202">
        <v>6</v>
      </c>
      <c r="W202" t="s">
        <v>85</v>
      </c>
      <c r="X202" t="s">
        <v>36</v>
      </c>
      <c r="Y202" t="s">
        <v>37</v>
      </c>
      <c r="Z202">
        <v>29</v>
      </c>
      <c r="AA202" t="s">
        <v>419</v>
      </c>
      <c r="AB202" t="str">
        <f t="shared" si="33"/>
        <v>Other</v>
      </c>
      <c r="AC202" t="s">
        <v>237</v>
      </c>
      <c r="AD202" t="str">
        <f t="shared" si="34"/>
        <v>Bachelors</v>
      </c>
      <c r="AE202" t="s">
        <v>58</v>
      </c>
      <c r="AF202" t="str">
        <f t="shared" si="35"/>
        <v>Black or African American</v>
      </c>
    </row>
    <row r="203" spans="1:32" x14ac:dyDescent="0.45">
      <c r="A203" t="s">
        <v>669</v>
      </c>
      <c r="B203" t="s">
        <v>25</v>
      </c>
      <c r="C203" s="3" t="s">
        <v>26</v>
      </c>
      <c r="D203" s="3">
        <f t="shared" si="27"/>
        <v>44840</v>
      </c>
      <c r="E203" t="s">
        <v>670</v>
      </c>
      <c r="F203" s="4">
        <f t="shared" si="28"/>
        <v>0.49652777777777779</v>
      </c>
      <c r="G203" t="s">
        <v>671</v>
      </c>
      <c r="H203" t="s">
        <v>672</v>
      </c>
      <c r="I203" t="str">
        <f t="shared" si="29"/>
        <v>Other</v>
      </c>
      <c r="J203" t="s">
        <v>31</v>
      </c>
      <c r="K203" t="s">
        <v>53</v>
      </c>
      <c r="L203">
        <f t="shared" si="30"/>
        <v>20</v>
      </c>
      <c r="M203" t="s">
        <v>33</v>
      </c>
      <c r="N203" t="str">
        <f t="shared" si="31"/>
        <v>Healthcare</v>
      </c>
      <c r="O203" t="s">
        <v>34</v>
      </c>
      <c r="P203" t="str">
        <f t="shared" si="32"/>
        <v>Python</v>
      </c>
      <c r="Q203">
        <v>10</v>
      </c>
      <c r="R203">
        <v>2</v>
      </c>
      <c r="S203">
        <v>8</v>
      </c>
      <c r="T203">
        <v>5</v>
      </c>
      <c r="U203">
        <v>0</v>
      </c>
      <c r="V203">
        <v>6</v>
      </c>
      <c r="W203" t="s">
        <v>55</v>
      </c>
      <c r="X203" t="s">
        <v>70</v>
      </c>
      <c r="Y203" t="s">
        <v>37</v>
      </c>
      <c r="Z203">
        <v>25</v>
      </c>
      <c r="AA203" t="s">
        <v>147</v>
      </c>
      <c r="AB203" t="str">
        <f t="shared" si="33"/>
        <v>India</v>
      </c>
      <c r="AC203" t="s">
        <v>240</v>
      </c>
      <c r="AD203" t="str">
        <f t="shared" si="34"/>
        <v>Masters</v>
      </c>
      <c r="AE203" t="s">
        <v>200</v>
      </c>
      <c r="AF203" t="str">
        <f t="shared" si="35"/>
        <v>Other</v>
      </c>
    </row>
    <row r="204" spans="1:32" x14ac:dyDescent="0.45">
      <c r="A204" t="s">
        <v>673</v>
      </c>
      <c r="B204" t="s">
        <v>25</v>
      </c>
      <c r="C204" s="3" t="s">
        <v>26</v>
      </c>
      <c r="D204" s="3">
        <f t="shared" si="27"/>
        <v>44840</v>
      </c>
      <c r="E204" t="s">
        <v>670</v>
      </c>
      <c r="F204" s="4">
        <f t="shared" si="28"/>
        <v>0.49652777777777779</v>
      </c>
      <c r="G204" t="s">
        <v>297</v>
      </c>
      <c r="H204" t="s">
        <v>30</v>
      </c>
      <c r="I204" t="str">
        <f t="shared" si="29"/>
        <v>Data Analyst</v>
      </c>
      <c r="J204" t="s">
        <v>43</v>
      </c>
      <c r="K204" t="s">
        <v>87</v>
      </c>
      <c r="L204">
        <f t="shared" si="30"/>
        <v>95.5</v>
      </c>
      <c r="M204" t="s">
        <v>90</v>
      </c>
      <c r="N204" t="str">
        <f t="shared" si="31"/>
        <v>Telecommunication</v>
      </c>
      <c r="O204" t="s">
        <v>674</v>
      </c>
      <c r="P204" t="str">
        <f t="shared" si="32"/>
        <v>Other</v>
      </c>
      <c r="Q204">
        <v>7</v>
      </c>
      <c r="R204">
        <v>7</v>
      </c>
      <c r="S204">
        <v>5</v>
      </c>
      <c r="T204">
        <v>7</v>
      </c>
      <c r="U204">
        <v>7</v>
      </c>
      <c r="V204">
        <v>7</v>
      </c>
      <c r="W204" t="s">
        <v>55</v>
      </c>
      <c r="X204" t="s">
        <v>36</v>
      </c>
      <c r="Y204" t="s">
        <v>37</v>
      </c>
      <c r="Z204">
        <v>40</v>
      </c>
      <c r="AA204" t="s">
        <v>38</v>
      </c>
      <c r="AB204" t="str">
        <f t="shared" si="33"/>
        <v>United States</v>
      </c>
      <c r="AC204" t="s">
        <v>227</v>
      </c>
      <c r="AD204" t="str">
        <f t="shared" si="34"/>
        <v>High School</v>
      </c>
      <c r="AE204" t="s">
        <v>91</v>
      </c>
      <c r="AF204" t="str">
        <f t="shared" si="35"/>
        <v>Hispanic or Latino</v>
      </c>
    </row>
    <row r="205" spans="1:32" x14ac:dyDescent="0.45">
      <c r="A205" t="s">
        <v>675</v>
      </c>
      <c r="B205" t="s">
        <v>25</v>
      </c>
      <c r="C205" s="3" t="s">
        <v>26</v>
      </c>
      <c r="D205" s="3">
        <f t="shared" si="27"/>
        <v>44840</v>
      </c>
      <c r="E205" t="s">
        <v>676</v>
      </c>
      <c r="F205" s="4">
        <f t="shared" si="28"/>
        <v>0.50069444444444444</v>
      </c>
      <c r="G205" t="s">
        <v>677</v>
      </c>
      <c r="H205" t="s">
        <v>30</v>
      </c>
      <c r="I205" t="str">
        <f t="shared" si="29"/>
        <v>Data Analyst</v>
      </c>
      <c r="J205" t="s">
        <v>43</v>
      </c>
      <c r="K205" t="s">
        <v>44</v>
      </c>
      <c r="L205">
        <f t="shared" si="30"/>
        <v>53</v>
      </c>
      <c r="M205" t="s">
        <v>486</v>
      </c>
      <c r="N205" t="str">
        <f t="shared" si="31"/>
        <v>Other</v>
      </c>
      <c r="O205" t="s">
        <v>376</v>
      </c>
      <c r="P205" t="str">
        <f t="shared" si="32"/>
        <v>Other</v>
      </c>
      <c r="Q205">
        <v>6</v>
      </c>
      <c r="R205">
        <v>10</v>
      </c>
      <c r="S205">
        <v>8</v>
      </c>
      <c r="T205">
        <v>8</v>
      </c>
      <c r="U205">
        <v>4</v>
      </c>
      <c r="V205">
        <v>4</v>
      </c>
      <c r="W205" t="s">
        <v>85</v>
      </c>
      <c r="X205" t="s">
        <v>70</v>
      </c>
      <c r="Y205" t="s">
        <v>65</v>
      </c>
      <c r="Z205">
        <v>29</v>
      </c>
      <c r="AA205" t="s">
        <v>47</v>
      </c>
      <c r="AB205" t="str">
        <f t="shared" si="33"/>
        <v>Canada</v>
      </c>
      <c r="AC205" t="s">
        <v>237</v>
      </c>
      <c r="AD205" t="str">
        <f t="shared" si="34"/>
        <v>Bachelors</v>
      </c>
      <c r="AE205" t="s">
        <v>78</v>
      </c>
      <c r="AF205" t="str">
        <f t="shared" si="35"/>
        <v>Other</v>
      </c>
    </row>
    <row r="206" spans="1:32" x14ac:dyDescent="0.45">
      <c r="A206" t="s">
        <v>678</v>
      </c>
      <c r="B206" t="s">
        <v>25</v>
      </c>
      <c r="C206" s="3" t="s">
        <v>26</v>
      </c>
      <c r="D206" s="3">
        <f t="shared" si="27"/>
        <v>44840</v>
      </c>
      <c r="E206" t="s">
        <v>676</v>
      </c>
      <c r="F206" s="4">
        <f t="shared" si="28"/>
        <v>0.50069444444444444</v>
      </c>
      <c r="G206" t="s">
        <v>679</v>
      </c>
      <c r="H206" t="s">
        <v>30</v>
      </c>
      <c r="I206" t="str">
        <f t="shared" si="29"/>
        <v>Data Analyst</v>
      </c>
      <c r="J206" t="s">
        <v>43</v>
      </c>
      <c r="K206" t="s">
        <v>44</v>
      </c>
      <c r="L206">
        <f t="shared" si="30"/>
        <v>53</v>
      </c>
      <c r="M206" t="s">
        <v>78</v>
      </c>
      <c r="N206" t="str">
        <f t="shared" si="31"/>
        <v>Other</v>
      </c>
      <c r="O206" t="s">
        <v>34</v>
      </c>
      <c r="P206" t="str">
        <f t="shared" si="32"/>
        <v>Python</v>
      </c>
      <c r="Q206">
        <v>0</v>
      </c>
      <c r="R206">
        <v>3</v>
      </c>
      <c r="S206">
        <v>3</v>
      </c>
      <c r="T206">
        <v>3</v>
      </c>
      <c r="U206">
        <v>3</v>
      </c>
      <c r="V206" t="s">
        <v>28</v>
      </c>
      <c r="W206" t="s">
        <v>69</v>
      </c>
      <c r="X206" t="s">
        <v>36</v>
      </c>
      <c r="Y206" t="s">
        <v>37</v>
      </c>
      <c r="Z206">
        <v>29</v>
      </c>
      <c r="AA206" t="s">
        <v>147</v>
      </c>
      <c r="AB206" t="str">
        <f t="shared" si="33"/>
        <v>India</v>
      </c>
      <c r="AC206" t="s">
        <v>240</v>
      </c>
      <c r="AD206" t="str">
        <f t="shared" si="34"/>
        <v>Masters</v>
      </c>
      <c r="AE206" t="s">
        <v>48</v>
      </c>
      <c r="AF206" t="str">
        <f t="shared" si="35"/>
        <v>Asian or Asian American</v>
      </c>
    </row>
    <row r="207" spans="1:32" x14ac:dyDescent="0.45">
      <c r="A207" t="s">
        <v>680</v>
      </c>
      <c r="B207" t="s">
        <v>25</v>
      </c>
      <c r="C207" s="3" t="s">
        <v>26</v>
      </c>
      <c r="D207" s="3">
        <f t="shared" si="27"/>
        <v>44840</v>
      </c>
      <c r="E207" t="s">
        <v>681</v>
      </c>
      <c r="F207" s="4">
        <f t="shared" si="28"/>
        <v>0.50208333333333333</v>
      </c>
      <c r="G207" t="s">
        <v>682</v>
      </c>
      <c r="H207" t="s">
        <v>30</v>
      </c>
      <c r="I207" t="str">
        <f t="shared" si="29"/>
        <v>Data Analyst</v>
      </c>
      <c r="J207" t="s">
        <v>31</v>
      </c>
      <c r="K207" t="s">
        <v>53</v>
      </c>
      <c r="L207">
        <f t="shared" si="30"/>
        <v>20</v>
      </c>
      <c r="M207" t="s">
        <v>108</v>
      </c>
      <c r="N207" t="str">
        <f t="shared" si="31"/>
        <v>Education</v>
      </c>
      <c r="O207" t="s">
        <v>34</v>
      </c>
      <c r="P207" t="str">
        <f t="shared" si="32"/>
        <v>Python</v>
      </c>
      <c r="Q207">
        <v>1</v>
      </c>
      <c r="R207">
        <v>2</v>
      </c>
      <c r="S207">
        <v>2</v>
      </c>
      <c r="T207">
        <v>3</v>
      </c>
      <c r="U207">
        <v>3</v>
      </c>
      <c r="V207">
        <v>4</v>
      </c>
      <c r="W207" t="s">
        <v>85</v>
      </c>
      <c r="X207" t="s">
        <v>70</v>
      </c>
      <c r="Y207" t="s">
        <v>37</v>
      </c>
      <c r="Z207">
        <v>28</v>
      </c>
      <c r="AA207" t="s">
        <v>419</v>
      </c>
      <c r="AB207" t="str">
        <f t="shared" si="33"/>
        <v>Other</v>
      </c>
      <c r="AC207" t="s">
        <v>240</v>
      </c>
      <c r="AD207" t="str">
        <f t="shared" si="34"/>
        <v>Masters</v>
      </c>
      <c r="AE207" t="s">
        <v>58</v>
      </c>
      <c r="AF207" t="str">
        <f t="shared" si="35"/>
        <v>Black or African American</v>
      </c>
    </row>
    <row r="208" spans="1:32" x14ac:dyDescent="0.45">
      <c r="A208" t="s">
        <v>683</v>
      </c>
      <c r="B208" t="s">
        <v>25</v>
      </c>
      <c r="C208" s="3" t="s">
        <v>26</v>
      </c>
      <c r="D208" s="3">
        <f t="shared" si="27"/>
        <v>44840</v>
      </c>
      <c r="E208" t="s">
        <v>684</v>
      </c>
      <c r="F208" s="4">
        <f t="shared" si="28"/>
        <v>0.50277777777777777</v>
      </c>
      <c r="G208" t="s">
        <v>146</v>
      </c>
      <c r="H208" t="s">
        <v>685</v>
      </c>
      <c r="I208" t="str">
        <f t="shared" si="29"/>
        <v>Other</v>
      </c>
      <c r="J208" t="s">
        <v>43</v>
      </c>
      <c r="K208" t="s">
        <v>87</v>
      </c>
      <c r="L208">
        <f t="shared" si="30"/>
        <v>95.5</v>
      </c>
      <c r="M208" t="s">
        <v>686</v>
      </c>
      <c r="N208" t="str">
        <f t="shared" si="31"/>
        <v>Other</v>
      </c>
      <c r="O208" t="s">
        <v>687</v>
      </c>
      <c r="P208" t="str">
        <f t="shared" si="32"/>
        <v>Other</v>
      </c>
      <c r="Q208">
        <v>5</v>
      </c>
      <c r="R208">
        <v>2</v>
      </c>
      <c r="S208">
        <v>0</v>
      </c>
      <c r="T208">
        <v>2</v>
      </c>
      <c r="U208">
        <v>0</v>
      </c>
      <c r="V208">
        <v>0</v>
      </c>
      <c r="W208" t="s">
        <v>85</v>
      </c>
      <c r="X208" t="s">
        <v>56</v>
      </c>
      <c r="Y208" t="s">
        <v>37</v>
      </c>
      <c r="Z208">
        <v>34</v>
      </c>
      <c r="AA208" t="s">
        <v>109</v>
      </c>
      <c r="AB208" t="str">
        <f t="shared" si="33"/>
        <v>United Kingdom</v>
      </c>
      <c r="AC208" t="s">
        <v>237</v>
      </c>
      <c r="AD208" t="str">
        <f t="shared" si="34"/>
        <v>Bachelors</v>
      </c>
      <c r="AE208" t="s">
        <v>39</v>
      </c>
      <c r="AF208" t="str">
        <f t="shared" si="35"/>
        <v>White or Caucasian</v>
      </c>
    </row>
    <row r="209" spans="1:32" x14ac:dyDescent="0.45">
      <c r="A209" t="s">
        <v>688</v>
      </c>
      <c r="B209" t="s">
        <v>25</v>
      </c>
      <c r="C209" s="3" t="s">
        <v>26</v>
      </c>
      <c r="D209" s="3">
        <f t="shared" si="27"/>
        <v>44840</v>
      </c>
      <c r="E209" t="s">
        <v>689</v>
      </c>
      <c r="F209" s="4">
        <f t="shared" si="28"/>
        <v>0.50694444444444442</v>
      </c>
      <c r="G209" t="s">
        <v>690</v>
      </c>
      <c r="H209" t="s">
        <v>123</v>
      </c>
      <c r="I209" t="str">
        <f t="shared" si="29"/>
        <v>None</v>
      </c>
      <c r="J209" t="s">
        <v>43</v>
      </c>
      <c r="K209" t="s">
        <v>53</v>
      </c>
      <c r="L209">
        <f t="shared" si="30"/>
        <v>20</v>
      </c>
      <c r="M209" t="s">
        <v>103</v>
      </c>
      <c r="N209" t="str">
        <f t="shared" si="31"/>
        <v>Tech</v>
      </c>
      <c r="O209" t="s">
        <v>34</v>
      </c>
      <c r="P209" t="str">
        <f t="shared" si="32"/>
        <v>Python</v>
      </c>
      <c r="Q209">
        <v>0</v>
      </c>
      <c r="R209">
        <v>4</v>
      </c>
      <c r="S209">
        <v>7</v>
      </c>
      <c r="T209">
        <v>6</v>
      </c>
      <c r="U209">
        <v>7</v>
      </c>
      <c r="V209">
        <v>8</v>
      </c>
      <c r="W209" t="s">
        <v>55</v>
      </c>
      <c r="X209" t="s">
        <v>691</v>
      </c>
      <c r="Y209" t="s">
        <v>37</v>
      </c>
      <c r="Z209">
        <v>24</v>
      </c>
      <c r="AA209" t="s">
        <v>612</v>
      </c>
      <c r="AB209" t="str">
        <f t="shared" si="33"/>
        <v>Other</v>
      </c>
      <c r="AC209" t="s">
        <v>240</v>
      </c>
      <c r="AD209" t="str">
        <f t="shared" si="34"/>
        <v>Masters</v>
      </c>
      <c r="AE209" t="s">
        <v>39</v>
      </c>
      <c r="AF209" t="str">
        <f t="shared" si="35"/>
        <v>White or Caucasian</v>
      </c>
    </row>
    <row r="210" spans="1:32" x14ac:dyDescent="0.45">
      <c r="A210" t="s">
        <v>692</v>
      </c>
      <c r="B210" t="s">
        <v>25</v>
      </c>
      <c r="C210" s="3" t="s">
        <v>26</v>
      </c>
      <c r="D210" s="3">
        <f t="shared" si="27"/>
        <v>44840</v>
      </c>
      <c r="E210" t="s">
        <v>693</v>
      </c>
      <c r="F210" s="4">
        <f t="shared" si="28"/>
        <v>0.50763888888888886</v>
      </c>
      <c r="G210" t="s">
        <v>694</v>
      </c>
      <c r="H210" t="s">
        <v>30</v>
      </c>
      <c r="I210" t="str">
        <f t="shared" si="29"/>
        <v>Data Analyst</v>
      </c>
      <c r="J210" t="s">
        <v>31</v>
      </c>
      <c r="K210" t="s">
        <v>53</v>
      </c>
      <c r="L210">
        <f t="shared" si="30"/>
        <v>20</v>
      </c>
      <c r="M210" t="s">
        <v>90</v>
      </c>
      <c r="N210" t="str">
        <f t="shared" si="31"/>
        <v>Telecommunication</v>
      </c>
      <c r="O210" t="s">
        <v>34</v>
      </c>
      <c r="P210" t="str">
        <f t="shared" si="32"/>
        <v>Python</v>
      </c>
      <c r="Q210">
        <v>5</v>
      </c>
      <c r="R210">
        <v>8</v>
      </c>
      <c r="S210">
        <v>8</v>
      </c>
      <c r="T210">
        <v>9</v>
      </c>
      <c r="U210">
        <v>7</v>
      </c>
      <c r="V210">
        <v>9</v>
      </c>
      <c r="W210" t="s">
        <v>64</v>
      </c>
      <c r="X210" t="s">
        <v>70</v>
      </c>
      <c r="Y210" t="s">
        <v>37</v>
      </c>
      <c r="Z210">
        <v>26</v>
      </c>
      <c r="AA210" t="s">
        <v>695</v>
      </c>
      <c r="AB210" t="str">
        <f t="shared" si="33"/>
        <v>Other</v>
      </c>
      <c r="AC210" t="s">
        <v>237</v>
      </c>
      <c r="AD210" t="str">
        <f t="shared" si="34"/>
        <v>Bachelors</v>
      </c>
      <c r="AE210" t="s">
        <v>696</v>
      </c>
      <c r="AF210" t="str">
        <f t="shared" si="35"/>
        <v>Other</v>
      </c>
    </row>
    <row r="211" spans="1:32" x14ac:dyDescent="0.45">
      <c r="A211" t="s">
        <v>697</v>
      </c>
      <c r="B211" t="s">
        <v>25</v>
      </c>
      <c r="C211" s="3" t="s">
        <v>26</v>
      </c>
      <c r="D211" s="3">
        <f t="shared" si="27"/>
        <v>44840</v>
      </c>
      <c r="E211" t="s">
        <v>698</v>
      </c>
      <c r="F211" s="4">
        <f t="shared" si="28"/>
        <v>0.51111111111111107</v>
      </c>
      <c r="G211" t="s">
        <v>128</v>
      </c>
      <c r="H211" t="s">
        <v>30</v>
      </c>
      <c r="I211" t="str">
        <f t="shared" si="29"/>
        <v>Data Analyst</v>
      </c>
      <c r="J211" t="s">
        <v>43</v>
      </c>
      <c r="K211" t="s">
        <v>82</v>
      </c>
      <c r="L211">
        <f t="shared" si="30"/>
        <v>137.5</v>
      </c>
      <c r="M211" t="s">
        <v>103</v>
      </c>
      <c r="N211" t="str">
        <f t="shared" si="31"/>
        <v>Tech</v>
      </c>
      <c r="O211" t="s">
        <v>34</v>
      </c>
      <c r="P211" t="str">
        <f t="shared" si="32"/>
        <v>Python</v>
      </c>
      <c r="Q211">
        <v>10</v>
      </c>
      <c r="R211">
        <v>5</v>
      </c>
      <c r="S211">
        <v>10</v>
      </c>
      <c r="T211">
        <v>10</v>
      </c>
      <c r="U211">
        <v>6</v>
      </c>
      <c r="V211">
        <v>10</v>
      </c>
      <c r="W211" t="s">
        <v>69</v>
      </c>
      <c r="X211" t="s">
        <v>56</v>
      </c>
      <c r="Y211" t="s">
        <v>37</v>
      </c>
      <c r="Z211">
        <v>28</v>
      </c>
      <c r="AA211" t="s">
        <v>38</v>
      </c>
      <c r="AB211" t="str">
        <f t="shared" si="33"/>
        <v>United States</v>
      </c>
      <c r="AC211" t="s">
        <v>237</v>
      </c>
      <c r="AD211" t="str">
        <f t="shared" si="34"/>
        <v>Bachelors</v>
      </c>
      <c r="AE211" t="s">
        <v>91</v>
      </c>
      <c r="AF211" t="str">
        <f t="shared" si="35"/>
        <v>Hispanic or Latino</v>
      </c>
    </row>
    <row r="212" spans="1:32" x14ac:dyDescent="0.45">
      <c r="A212" t="s">
        <v>699</v>
      </c>
      <c r="B212" t="s">
        <v>25</v>
      </c>
      <c r="C212" s="3" t="s">
        <v>26</v>
      </c>
      <c r="D212" s="3">
        <f t="shared" si="27"/>
        <v>44840</v>
      </c>
      <c r="E212" t="s">
        <v>698</v>
      </c>
      <c r="F212" s="4">
        <f t="shared" si="28"/>
        <v>0.51111111111111107</v>
      </c>
      <c r="G212" t="s">
        <v>700</v>
      </c>
      <c r="H212" t="s">
        <v>123</v>
      </c>
      <c r="I212" t="str">
        <f t="shared" si="29"/>
        <v>None</v>
      </c>
      <c r="J212" t="s">
        <v>43</v>
      </c>
      <c r="K212" t="s">
        <v>53</v>
      </c>
      <c r="L212">
        <f t="shared" si="30"/>
        <v>20</v>
      </c>
      <c r="M212" t="s">
        <v>108</v>
      </c>
      <c r="N212" t="str">
        <f t="shared" si="31"/>
        <v>Education</v>
      </c>
      <c r="O212" t="s">
        <v>46</v>
      </c>
      <c r="P212" t="str">
        <f t="shared" si="32"/>
        <v>R</v>
      </c>
      <c r="Q212">
        <v>5</v>
      </c>
      <c r="R212">
        <v>4</v>
      </c>
      <c r="S212">
        <v>4</v>
      </c>
      <c r="T212">
        <v>4</v>
      </c>
      <c r="U212">
        <v>5</v>
      </c>
      <c r="V212">
        <v>5</v>
      </c>
      <c r="W212" t="s">
        <v>69</v>
      </c>
      <c r="X212" t="s">
        <v>56</v>
      </c>
      <c r="Y212" t="s">
        <v>37</v>
      </c>
      <c r="Z212">
        <v>25</v>
      </c>
      <c r="AA212" t="s">
        <v>267</v>
      </c>
      <c r="AB212" t="str">
        <f t="shared" si="33"/>
        <v>Other</v>
      </c>
      <c r="AC212" t="s">
        <v>240</v>
      </c>
      <c r="AD212" t="str">
        <f t="shared" si="34"/>
        <v>Masters</v>
      </c>
      <c r="AE212" t="s">
        <v>39</v>
      </c>
      <c r="AF212" t="str">
        <f t="shared" si="35"/>
        <v>White or Caucasian</v>
      </c>
    </row>
    <row r="213" spans="1:32" x14ac:dyDescent="0.45">
      <c r="A213" t="s">
        <v>701</v>
      </c>
      <c r="B213" t="s">
        <v>25</v>
      </c>
      <c r="C213" s="3" t="s">
        <v>26</v>
      </c>
      <c r="D213" s="3">
        <f t="shared" si="27"/>
        <v>44840</v>
      </c>
      <c r="E213" t="s">
        <v>702</v>
      </c>
      <c r="F213" s="4">
        <f t="shared" si="28"/>
        <v>0.51597222222222228</v>
      </c>
      <c r="G213" t="s">
        <v>703</v>
      </c>
      <c r="H213" t="s">
        <v>30</v>
      </c>
      <c r="I213" t="str">
        <f t="shared" si="29"/>
        <v>Data Analyst</v>
      </c>
      <c r="J213" t="s">
        <v>31</v>
      </c>
      <c r="K213" t="s">
        <v>53</v>
      </c>
      <c r="L213">
        <f t="shared" si="30"/>
        <v>20</v>
      </c>
      <c r="M213" t="s">
        <v>103</v>
      </c>
      <c r="N213" t="str">
        <f t="shared" si="31"/>
        <v>Tech</v>
      </c>
      <c r="O213" t="s">
        <v>34</v>
      </c>
      <c r="P213" t="str">
        <f t="shared" si="32"/>
        <v>Python</v>
      </c>
      <c r="Q213">
        <v>1</v>
      </c>
      <c r="R213">
        <v>4</v>
      </c>
      <c r="S213">
        <v>9</v>
      </c>
      <c r="T213">
        <v>7</v>
      </c>
      <c r="U213">
        <v>8</v>
      </c>
      <c r="V213">
        <v>10</v>
      </c>
      <c r="W213" t="s">
        <v>55</v>
      </c>
      <c r="X213" t="s">
        <v>70</v>
      </c>
      <c r="Y213" t="s">
        <v>37</v>
      </c>
      <c r="Z213">
        <v>33</v>
      </c>
      <c r="AA213" t="s">
        <v>261</v>
      </c>
      <c r="AB213" t="str">
        <f t="shared" si="33"/>
        <v>Other</v>
      </c>
      <c r="AC213" t="s">
        <v>237</v>
      </c>
      <c r="AD213" t="str">
        <f t="shared" si="34"/>
        <v>Bachelors</v>
      </c>
      <c r="AE213" t="s">
        <v>91</v>
      </c>
      <c r="AF213" t="str">
        <f t="shared" si="35"/>
        <v>Hispanic or Latino</v>
      </c>
    </row>
    <row r="214" spans="1:32" x14ac:dyDescent="0.45">
      <c r="A214" t="s">
        <v>704</v>
      </c>
      <c r="B214" t="s">
        <v>25</v>
      </c>
      <c r="C214" s="3" t="s">
        <v>26</v>
      </c>
      <c r="D214" s="3">
        <f t="shared" si="27"/>
        <v>44840</v>
      </c>
      <c r="E214" t="s">
        <v>702</v>
      </c>
      <c r="F214" s="4">
        <f t="shared" si="28"/>
        <v>0.51597222222222228</v>
      </c>
      <c r="G214" t="s">
        <v>285</v>
      </c>
      <c r="H214" t="s">
        <v>30</v>
      </c>
      <c r="I214" t="str">
        <f t="shared" si="29"/>
        <v>Data Analyst</v>
      </c>
      <c r="J214" t="s">
        <v>31</v>
      </c>
      <c r="K214" t="s">
        <v>94</v>
      </c>
      <c r="L214">
        <f t="shared" si="30"/>
        <v>75.5</v>
      </c>
      <c r="M214" t="s">
        <v>45</v>
      </c>
      <c r="N214" t="str">
        <f t="shared" si="31"/>
        <v>Finance</v>
      </c>
      <c r="O214" t="s">
        <v>34</v>
      </c>
      <c r="P214" t="str">
        <f t="shared" si="32"/>
        <v>Python</v>
      </c>
      <c r="Q214">
        <v>4</v>
      </c>
      <c r="R214">
        <v>4</v>
      </c>
      <c r="S214">
        <v>6</v>
      </c>
      <c r="T214">
        <v>3</v>
      </c>
      <c r="U214">
        <v>4</v>
      </c>
      <c r="V214">
        <v>0</v>
      </c>
      <c r="W214" t="s">
        <v>85</v>
      </c>
      <c r="X214" t="s">
        <v>36</v>
      </c>
      <c r="Y214" t="s">
        <v>37</v>
      </c>
      <c r="Z214">
        <v>30</v>
      </c>
      <c r="AA214" t="s">
        <v>492</v>
      </c>
      <c r="AB214" t="str">
        <f t="shared" si="33"/>
        <v>Other</v>
      </c>
      <c r="AC214" t="s">
        <v>240</v>
      </c>
      <c r="AD214" t="str">
        <f t="shared" si="34"/>
        <v>Masters</v>
      </c>
      <c r="AE214" t="s">
        <v>39</v>
      </c>
      <c r="AF214" t="str">
        <f t="shared" si="35"/>
        <v>White or Caucasian</v>
      </c>
    </row>
    <row r="215" spans="1:32" x14ac:dyDescent="0.45">
      <c r="A215" t="s">
        <v>705</v>
      </c>
      <c r="B215" t="s">
        <v>25</v>
      </c>
      <c r="C215" s="3" t="s">
        <v>26</v>
      </c>
      <c r="D215" s="3">
        <f t="shared" si="27"/>
        <v>44840</v>
      </c>
      <c r="E215" t="s">
        <v>706</v>
      </c>
      <c r="F215" s="4">
        <f t="shared" si="28"/>
        <v>0.51736111111111116</v>
      </c>
      <c r="G215" t="s">
        <v>472</v>
      </c>
      <c r="H215" t="s">
        <v>30</v>
      </c>
      <c r="I215" t="str">
        <f t="shared" si="29"/>
        <v>Data Analyst</v>
      </c>
      <c r="J215" t="s">
        <v>31</v>
      </c>
      <c r="K215" t="s">
        <v>53</v>
      </c>
      <c r="L215">
        <f t="shared" si="30"/>
        <v>20</v>
      </c>
      <c r="M215" t="s">
        <v>45</v>
      </c>
      <c r="N215" t="str">
        <f t="shared" si="31"/>
        <v>Finance</v>
      </c>
      <c r="O215" t="s">
        <v>34</v>
      </c>
      <c r="P215" t="str">
        <f t="shared" si="32"/>
        <v>Python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 t="s">
        <v>35</v>
      </c>
      <c r="X215" t="s">
        <v>70</v>
      </c>
      <c r="Y215" t="s">
        <v>37</v>
      </c>
      <c r="Z215">
        <v>35</v>
      </c>
      <c r="AA215" t="s">
        <v>147</v>
      </c>
      <c r="AB215" t="str">
        <f t="shared" si="33"/>
        <v>India</v>
      </c>
      <c r="AC215" t="s">
        <v>237</v>
      </c>
      <c r="AD215" t="str">
        <f t="shared" si="34"/>
        <v>Bachelors</v>
      </c>
      <c r="AE215" t="s">
        <v>200</v>
      </c>
      <c r="AF215" t="str">
        <f t="shared" si="35"/>
        <v>Other</v>
      </c>
    </row>
    <row r="216" spans="1:32" x14ac:dyDescent="0.45">
      <c r="A216" t="s">
        <v>707</v>
      </c>
      <c r="B216" t="s">
        <v>25</v>
      </c>
      <c r="C216" s="3" t="s">
        <v>26</v>
      </c>
      <c r="D216" s="3">
        <f t="shared" si="27"/>
        <v>44840</v>
      </c>
      <c r="E216" t="s">
        <v>708</v>
      </c>
      <c r="F216" s="4">
        <f t="shared" si="28"/>
        <v>0.51944444444444449</v>
      </c>
      <c r="G216" t="s">
        <v>229</v>
      </c>
      <c r="H216" t="s">
        <v>30</v>
      </c>
      <c r="I216" t="str">
        <f t="shared" si="29"/>
        <v>Data Analyst</v>
      </c>
      <c r="J216" t="s">
        <v>43</v>
      </c>
      <c r="K216" t="s">
        <v>53</v>
      </c>
      <c r="L216">
        <f t="shared" si="30"/>
        <v>20</v>
      </c>
      <c r="M216" t="s">
        <v>178</v>
      </c>
      <c r="N216" t="str">
        <f t="shared" si="31"/>
        <v>Other</v>
      </c>
      <c r="O216" t="s">
        <v>674</v>
      </c>
      <c r="P216" t="str">
        <f t="shared" si="32"/>
        <v>Other</v>
      </c>
      <c r="Q216">
        <v>5</v>
      </c>
      <c r="R216">
        <v>2</v>
      </c>
      <c r="S216">
        <v>5</v>
      </c>
      <c r="T216">
        <v>5</v>
      </c>
      <c r="U216">
        <v>3</v>
      </c>
      <c r="V216">
        <v>4</v>
      </c>
      <c r="W216" t="s">
        <v>69</v>
      </c>
      <c r="X216" t="s">
        <v>70</v>
      </c>
      <c r="Y216" t="s">
        <v>37</v>
      </c>
      <c r="Z216">
        <v>25</v>
      </c>
      <c r="AA216" t="s">
        <v>709</v>
      </c>
      <c r="AB216" t="str">
        <f t="shared" si="33"/>
        <v>Other</v>
      </c>
      <c r="AC216" t="s">
        <v>237</v>
      </c>
      <c r="AD216" t="str">
        <f t="shared" si="34"/>
        <v>Bachelors</v>
      </c>
      <c r="AE216" t="s">
        <v>39</v>
      </c>
      <c r="AF216" t="str">
        <f t="shared" si="35"/>
        <v>White or Caucasian</v>
      </c>
    </row>
    <row r="217" spans="1:32" x14ac:dyDescent="0.45">
      <c r="A217" t="s">
        <v>710</v>
      </c>
      <c r="B217" t="s">
        <v>25</v>
      </c>
      <c r="C217" s="3" t="s">
        <v>26</v>
      </c>
      <c r="D217" s="3">
        <f t="shared" si="27"/>
        <v>44840</v>
      </c>
      <c r="E217" t="s">
        <v>711</v>
      </c>
      <c r="F217" s="4">
        <f t="shared" si="28"/>
        <v>0.52013888888888893</v>
      </c>
      <c r="G217" t="s">
        <v>128</v>
      </c>
      <c r="H217" t="s">
        <v>30</v>
      </c>
      <c r="I217" t="str">
        <f t="shared" si="29"/>
        <v>Data Analyst</v>
      </c>
      <c r="J217" t="s">
        <v>43</v>
      </c>
      <c r="K217" t="s">
        <v>53</v>
      </c>
      <c r="L217">
        <f t="shared" si="30"/>
        <v>20</v>
      </c>
      <c r="M217" t="s">
        <v>712</v>
      </c>
      <c r="N217" t="str">
        <f t="shared" si="31"/>
        <v>Real Estate</v>
      </c>
      <c r="O217" t="s">
        <v>34</v>
      </c>
      <c r="P217" t="str">
        <f t="shared" si="32"/>
        <v>Python</v>
      </c>
      <c r="Q217">
        <v>4</v>
      </c>
      <c r="R217">
        <v>7</v>
      </c>
      <c r="S217">
        <v>9</v>
      </c>
      <c r="T217">
        <v>5</v>
      </c>
      <c r="U217">
        <v>2</v>
      </c>
      <c r="V217">
        <v>8</v>
      </c>
      <c r="W217" t="s">
        <v>55</v>
      </c>
      <c r="X217" t="s">
        <v>70</v>
      </c>
      <c r="Y217" t="s">
        <v>37</v>
      </c>
      <c r="Z217">
        <v>23</v>
      </c>
      <c r="AA217" t="s">
        <v>207</v>
      </c>
      <c r="AB217" t="str">
        <f t="shared" si="33"/>
        <v>Other</v>
      </c>
      <c r="AC217" t="s">
        <v>237</v>
      </c>
      <c r="AD217" t="str">
        <f t="shared" si="34"/>
        <v>Bachelors</v>
      </c>
      <c r="AE217" t="s">
        <v>39</v>
      </c>
      <c r="AF217" t="str">
        <f t="shared" si="35"/>
        <v>White or Caucasian</v>
      </c>
    </row>
    <row r="218" spans="1:32" x14ac:dyDescent="0.45">
      <c r="A218" t="s">
        <v>713</v>
      </c>
      <c r="B218" t="s">
        <v>25</v>
      </c>
      <c r="C218" s="3" t="s">
        <v>26</v>
      </c>
      <c r="D218" s="3">
        <f t="shared" si="27"/>
        <v>44840</v>
      </c>
      <c r="E218" t="s">
        <v>714</v>
      </c>
      <c r="F218" s="4">
        <f t="shared" si="28"/>
        <v>0.52222222222222225</v>
      </c>
      <c r="G218" t="s">
        <v>61</v>
      </c>
      <c r="H218" t="s">
        <v>52</v>
      </c>
      <c r="I218" t="str">
        <f t="shared" si="29"/>
        <v>Data Engineer</v>
      </c>
      <c r="J218" t="s">
        <v>43</v>
      </c>
      <c r="K218" t="s">
        <v>53</v>
      </c>
      <c r="L218">
        <f t="shared" si="30"/>
        <v>20</v>
      </c>
      <c r="M218" t="s">
        <v>33</v>
      </c>
      <c r="N218" t="str">
        <f t="shared" si="31"/>
        <v>Healthcare</v>
      </c>
      <c r="O218" t="s">
        <v>34</v>
      </c>
      <c r="P218" t="str">
        <f t="shared" si="32"/>
        <v>Python</v>
      </c>
      <c r="Q218">
        <v>6</v>
      </c>
      <c r="R218">
        <v>6</v>
      </c>
      <c r="S218">
        <v>6</v>
      </c>
      <c r="T218">
        <v>5</v>
      </c>
      <c r="U218">
        <v>4</v>
      </c>
      <c r="V218">
        <v>7</v>
      </c>
      <c r="W218" t="s">
        <v>85</v>
      </c>
      <c r="X218" t="s">
        <v>56</v>
      </c>
      <c r="Y218" t="s">
        <v>37</v>
      </c>
      <c r="Z218">
        <v>24</v>
      </c>
      <c r="AA218" t="s">
        <v>347</v>
      </c>
      <c r="AB218" t="str">
        <f t="shared" si="33"/>
        <v>Other</v>
      </c>
      <c r="AC218" t="s">
        <v>237</v>
      </c>
      <c r="AD218" t="str">
        <f t="shared" si="34"/>
        <v>Bachelors</v>
      </c>
      <c r="AE218" t="s">
        <v>91</v>
      </c>
      <c r="AF218" t="str">
        <f t="shared" si="35"/>
        <v>Hispanic or Latino</v>
      </c>
    </row>
    <row r="219" spans="1:32" x14ac:dyDescent="0.45">
      <c r="A219" t="s">
        <v>715</v>
      </c>
      <c r="B219" t="s">
        <v>25</v>
      </c>
      <c r="C219" s="3" t="s">
        <v>26</v>
      </c>
      <c r="D219" s="3">
        <f t="shared" si="27"/>
        <v>44840</v>
      </c>
      <c r="E219" t="s">
        <v>716</v>
      </c>
      <c r="F219" s="4">
        <f t="shared" si="28"/>
        <v>0.52777777777777779</v>
      </c>
      <c r="G219" t="s">
        <v>654</v>
      </c>
      <c r="H219" t="s">
        <v>30</v>
      </c>
      <c r="I219" t="str">
        <f t="shared" si="29"/>
        <v>Data Analyst</v>
      </c>
      <c r="J219" t="s">
        <v>31</v>
      </c>
      <c r="K219" t="s">
        <v>63</v>
      </c>
      <c r="L219">
        <f t="shared" si="30"/>
        <v>187.5</v>
      </c>
      <c r="M219" t="s">
        <v>108</v>
      </c>
      <c r="N219" t="str">
        <f t="shared" si="31"/>
        <v>Education</v>
      </c>
      <c r="O219" t="s">
        <v>717</v>
      </c>
      <c r="P219" t="str">
        <f t="shared" si="32"/>
        <v>Other</v>
      </c>
      <c r="Q219">
        <v>8</v>
      </c>
      <c r="R219">
        <v>9</v>
      </c>
      <c r="S219">
        <v>9</v>
      </c>
      <c r="T219">
        <v>7</v>
      </c>
      <c r="U219">
        <v>6</v>
      </c>
      <c r="V219">
        <v>6</v>
      </c>
      <c r="W219" t="s">
        <v>85</v>
      </c>
      <c r="X219" t="s">
        <v>70</v>
      </c>
      <c r="Y219" t="s">
        <v>37</v>
      </c>
      <c r="Z219">
        <v>27</v>
      </c>
      <c r="AA219" t="s">
        <v>38</v>
      </c>
      <c r="AB219" t="str">
        <f t="shared" si="33"/>
        <v>United States</v>
      </c>
      <c r="AC219" t="s">
        <v>240</v>
      </c>
      <c r="AD219" t="str">
        <f t="shared" si="34"/>
        <v>Masters</v>
      </c>
      <c r="AE219" t="s">
        <v>58</v>
      </c>
      <c r="AF219" t="str">
        <f t="shared" si="35"/>
        <v>Black or African American</v>
      </c>
    </row>
    <row r="220" spans="1:32" x14ac:dyDescent="0.45">
      <c r="A220" t="s">
        <v>718</v>
      </c>
      <c r="B220" t="s">
        <v>25</v>
      </c>
      <c r="C220" s="3" t="s">
        <v>26</v>
      </c>
      <c r="D220" s="3">
        <f t="shared" si="27"/>
        <v>44840</v>
      </c>
      <c r="E220" t="s">
        <v>719</v>
      </c>
      <c r="F220" s="4">
        <f t="shared" si="28"/>
        <v>0.53263888888888888</v>
      </c>
      <c r="G220" t="s">
        <v>112</v>
      </c>
      <c r="H220" t="s">
        <v>30</v>
      </c>
      <c r="I220" t="str">
        <f t="shared" si="29"/>
        <v>Data Analyst</v>
      </c>
      <c r="J220" t="s">
        <v>31</v>
      </c>
      <c r="K220" t="s">
        <v>94</v>
      </c>
      <c r="L220">
        <f t="shared" si="30"/>
        <v>75.5</v>
      </c>
      <c r="M220" t="s">
        <v>720</v>
      </c>
      <c r="N220" t="str">
        <f t="shared" si="31"/>
        <v>Other</v>
      </c>
      <c r="O220" t="s">
        <v>34</v>
      </c>
      <c r="P220" t="str">
        <f t="shared" si="32"/>
        <v>Python</v>
      </c>
      <c r="Q220">
        <v>4</v>
      </c>
      <c r="R220">
        <v>10</v>
      </c>
      <c r="S220">
        <v>10</v>
      </c>
      <c r="T220">
        <v>8</v>
      </c>
      <c r="U220">
        <v>5</v>
      </c>
      <c r="V220">
        <v>6</v>
      </c>
      <c r="W220" t="s">
        <v>85</v>
      </c>
      <c r="X220" t="s">
        <v>36</v>
      </c>
      <c r="Y220" t="s">
        <v>37</v>
      </c>
      <c r="Z220">
        <v>32</v>
      </c>
      <c r="AA220" t="s">
        <v>38</v>
      </c>
      <c r="AB220" t="str">
        <f t="shared" si="33"/>
        <v>United States</v>
      </c>
      <c r="AC220" t="s">
        <v>237</v>
      </c>
      <c r="AD220" t="str">
        <f t="shared" si="34"/>
        <v>Bachelors</v>
      </c>
      <c r="AE220" t="s">
        <v>48</v>
      </c>
      <c r="AF220" t="str">
        <f t="shared" si="35"/>
        <v>Asian or Asian American</v>
      </c>
    </row>
    <row r="221" spans="1:32" x14ac:dyDescent="0.45">
      <c r="A221" t="s">
        <v>721</v>
      </c>
      <c r="B221" t="s">
        <v>25</v>
      </c>
      <c r="C221" s="3" t="s">
        <v>26</v>
      </c>
      <c r="D221" s="3">
        <f t="shared" si="27"/>
        <v>44840</v>
      </c>
      <c r="E221" t="s">
        <v>722</v>
      </c>
      <c r="F221" s="4">
        <f t="shared" si="28"/>
        <v>0.53819444444444442</v>
      </c>
      <c r="G221" t="s">
        <v>406</v>
      </c>
      <c r="H221" t="s">
        <v>30</v>
      </c>
      <c r="I221" t="str">
        <f t="shared" si="29"/>
        <v>Data Analyst</v>
      </c>
      <c r="J221" t="s">
        <v>31</v>
      </c>
      <c r="K221" t="s">
        <v>44</v>
      </c>
      <c r="L221">
        <f t="shared" si="30"/>
        <v>53</v>
      </c>
      <c r="M221" t="s">
        <v>103</v>
      </c>
      <c r="N221" t="str">
        <f t="shared" si="31"/>
        <v>Tech</v>
      </c>
      <c r="O221" t="s">
        <v>34</v>
      </c>
      <c r="P221" t="str">
        <f t="shared" si="32"/>
        <v>Python</v>
      </c>
      <c r="Q221">
        <v>3</v>
      </c>
      <c r="R221">
        <v>5</v>
      </c>
      <c r="S221">
        <v>4</v>
      </c>
      <c r="T221">
        <v>4</v>
      </c>
      <c r="U221">
        <v>4</v>
      </c>
      <c r="V221">
        <v>4</v>
      </c>
      <c r="W221" t="s">
        <v>85</v>
      </c>
      <c r="X221" t="s">
        <v>56</v>
      </c>
      <c r="Y221" t="s">
        <v>37</v>
      </c>
      <c r="Z221">
        <v>50</v>
      </c>
      <c r="AA221" t="s">
        <v>47</v>
      </c>
      <c r="AB221" t="str">
        <f t="shared" si="33"/>
        <v>Canada</v>
      </c>
      <c r="AC221" t="s">
        <v>237</v>
      </c>
      <c r="AD221" t="str">
        <f t="shared" si="34"/>
        <v>Bachelors</v>
      </c>
      <c r="AE221" t="s">
        <v>39</v>
      </c>
      <c r="AF221" t="str">
        <f t="shared" si="35"/>
        <v>White or Caucasian</v>
      </c>
    </row>
    <row r="222" spans="1:32" x14ac:dyDescent="0.45">
      <c r="A222" t="s">
        <v>723</v>
      </c>
      <c r="B222" t="s">
        <v>25</v>
      </c>
      <c r="C222" s="3" t="s">
        <v>26</v>
      </c>
      <c r="D222" s="3">
        <f t="shared" si="27"/>
        <v>44840</v>
      </c>
      <c r="E222" t="s">
        <v>722</v>
      </c>
      <c r="F222" s="4">
        <f t="shared" si="28"/>
        <v>0.53819444444444442</v>
      </c>
      <c r="G222" t="s">
        <v>81</v>
      </c>
      <c r="H222" t="s">
        <v>724</v>
      </c>
      <c r="I222" t="str">
        <f t="shared" si="29"/>
        <v>Data Architect</v>
      </c>
      <c r="J222" t="s">
        <v>31</v>
      </c>
      <c r="K222" t="s">
        <v>94</v>
      </c>
      <c r="L222">
        <f t="shared" si="30"/>
        <v>75.5</v>
      </c>
      <c r="M222" t="s">
        <v>725</v>
      </c>
      <c r="N222" t="str">
        <f t="shared" si="31"/>
        <v>Other</v>
      </c>
      <c r="O222" t="s">
        <v>34</v>
      </c>
      <c r="P222" t="str">
        <f t="shared" si="32"/>
        <v>Python</v>
      </c>
      <c r="Q222">
        <v>7</v>
      </c>
      <c r="R222">
        <v>7</v>
      </c>
      <c r="S222">
        <v>8</v>
      </c>
      <c r="T222">
        <v>9</v>
      </c>
      <c r="U222">
        <v>10</v>
      </c>
      <c r="V222">
        <v>10</v>
      </c>
      <c r="W222" t="s">
        <v>85</v>
      </c>
      <c r="X222" t="s">
        <v>36</v>
      </c>
      <c r="Y222" t="s">
        <v>37</v>
      </c>
      <c r="Z222">
        <v>29</v>
      </c>
      <c r="AA222" t="s">
        <v>38</v>
      </c>
      <c r="AB222" t="str">
        <f t="shared" si="33"/>
        <v>United States</v>
      </c>
      <c r="AC222" t="s">
        <v>227</v>
      </c>
      <c r="AD222" t="str">
        <f t="shared" si="34"/>
        <v>High School</v>
      </c>
      <c r="AE222" t="s">
        <v>39</v>
      </c>
      <c r="AF222" t="str">
        <f t="shared" si="35"/>
        <v>White or Caucasian</v>
      </c>
    </row>
    <row r="223" spans="1:32" x14ac:dyDescent="0.45">
      <c r="A223" t="s">
        <v>726</v>
      </c>
      <c r="B223" t="s">
        <v>25</v>
      </c>
      <c r="C223" s="3" t="s">
        <v>26</v>
      </c>
      <c r="D223" s="3">
        <f t="shared" si="27"/>
        <v>44840</v>
      </c>
      <c r="E223" t="s">
        <v>727</v>
      </c>
      <c r="F223" s="4">
        <f t="shared" si="28"/>
        <v>0.5395833333333333</v>
      </c>
      <c r="G223" t="s">
        <v>176</v>
      </c>
      <c r="H223" t="s">
        <v>30</v>
      </c>
      <c r="I223" t="str">
        <f t="shared" si="29"/>
        <v>Data Analyst</v>
      </c>
      <c r="J223" t="s">
        <v>31</v>
      </c>
      <c r="K223" t="s">
        <v>53</v>
      </c>
      <c r="L223">
        <f t="shared" si="30"/>
        <v>20</v>
      </c>
      <c r="M223" t="s">
        <v>90</v>
      </c>
      <c r="N223" t="str">
        <f t="shared" si="31"/>
        <v>Telecommunication</v>
      </c>
      <c r="O223" t="s">
        <v>46</v>
      </c>
      <c r="P223" t="str">
        <f t="shared" si="32"/>
        <v>R</v>
      </c>
      <c r="Q223">
        <v>2</v>
      </c>
      <c r="R223">
        <v>8</v>
      </c>
      <c r="S223">
        <v>7</v>
      </c>
      <c r="T223">
        <v>6</v>
      </c>
      <c r="U223">
        <v>5</v>
      </c>
      <c r="V223">
        <v>6</v>
      </c>
      <c r="W223" t="s">
        <v>85</v>
      </c>
      <c r="X223" t="s">
        <v>56</v>
      </c>
      <c r="Y223" t="s">
        <v>37</v>
      </c>
      <c r="Z223">
        <v>41</v>
      </c>
      <c r="AA223" t="s">
        <v>728</v>
      </c>
      <c r="AB223" t="str">
        <f t="shared" si="33"/>
        <v>Other</v>
      </c>
      <c r="AC223" t="s">
        <v>237</v>
      </c>
      <c r="AD223" t="str">
        <f t="shared" si="34"/>
        <v>Bachelors</v>
      </c>
      <c r="AE223" t="s">
        <v>91</v>
      </c>
      <c r="AF223" t="str">
        <f t="shared" si="35"/>
        <v>Hispanic or Latino</v>
      </c>
    </row>
    <row r="224" spans="1:32" x14ac:dyDescent="0.45">
      <c r="A224" t="s">
        <v>729</v>
      </c>
      <c r="B224" t="s">
        <v>25</v>
      </c>
      <c r="C224" s="3" t="s">
        <v>26</v>
      </c>
      <c r="D224" s="3">
        <f t="shared" si="27"/>
        <v>44840</v>
      </c>
      <c r="E224" t="s">
        <v>730</v>
      </c>
      <c r="F224" s="4">
        <f t="shared" si="28"/>
        <v>0.54027777777777775</v>
      </c>
      <c r="G224" t="s">
        <v>731</v>
      </c>
      <c r="H224" t="s">
        <v>732</v>
      </c>
      <c r="I224" t="str">
        <f t="shared" si="29"/>
        <v>Other</v>
      </c>
      <c r="J224" t="s">
        <v>43</v>
      </c>
      <c r="K224" t="s">
        <v>53</v>
      </c>
      <c r="L224">
        <f t="shared" si="30"/>
        <v>20</v>
      </c>
      <c r="M224" t="s">
        <v>733</v>
      </c>
      <c r="N224" t="str">
        <f t="shared" si="31"/>
        <v>Other</v>
      </c>
      <c r="O224" t="s">
        <v>46</v>
      </c>
      <c r="P224" t="str">
        <f t="shared" si="32"/>
        <v>R</v>
      </c>
      <c r="Q224">
        <v>1</v>
      </c>
      <c r="R224">
        <v>7</v>
      </c>
      <c r="S224">
        <v>7</v>
      </c>
      <c r="T224">
        <v>1</v>
      </c>
      <c r="U224">
        <v>4</v>
      </c>
      <c r="V224">
        <v>10</v>
      </c>
      <c r="W224" t="s">
        <v>85</v>
      </c>
      <c r="X224" t="s">
        <v>70</v>
      </c>
      <c r="Y224" t="s">
        <v>37</v>
      </c>
      <c r="Z224">
        <v>23</v>
      </c>
      <c r="AA224" t="s">
        <v>38</v>
      </c>
      <c r="AB224" t="str">
        <f t="shared" si="33"/>
        <v>United States</v>
      </c>
      <c r="AC224" t="s">
        <v>262</v>
      </c>
      <c r="AD224" t="str">
        <f t="shared" si="34"/>
        <v>Associates</v>
      </c>
      <c r="AE224" t="s">
        <v>39</v>
      </c>
      <c r="AF224" t="str">
        <f t="shared" si="35"/>
        <v>White or Caucasian</v>
      </c>
    </row>
    <row r="225" spans="1:32" x14ac:dyDescent="0.45">
      <c r="A225" t="s">
        <v>734</v>
      </c>
      <c r="B225" t="s">
        <v>25</v>
      </c>
      <c r="C225" s="3" t="s">
        <v>26</v>
      </c>
      <c r="D225" s="3">
        <f t="shared" si="27"/>
        <v>44840</v>
      </c>
      <c r="E225" t="s">
        <v>735</v>
      </c>
      <c r="F225" s="4">
        <f t="shared" si="28"/>
        <v>0.54652777777777772</v>
      </c>
      <c r="G225" t="s">
        <v>736</v>
      </c>
      <c r="H225" t="s">
        <v>30</v>
      </c>
      <c r="I225" t="str">
        <f t="shared" si="29"/>
        <v>Data Analyst</v>
      </c>
      <c r="J225" t="s">
        <v>31</v>
      </c>
      <c r="K225" t="s">
        <v>53</v>
      </c>
      <c r="L225">
        <f t="shared" si="30"/>
        <v>20</v>
      </c>
      <c r="M225" t="s">
        <v>45</v>
      </c>
      <c r="N225" t="str">
        <f t="shared" si="31"/>
        <v>Finance</v>
      </c>
      <c r="O225" t="s">
        <v>34</v>
      </c>
      <c r="P225" t="str">
        <f t="shared" si="32"/>
        <v>Python</v>
      </c>
      <c r="Q225">
        <v>4</v>
      </c>
      <c r="R225">
        <v>7</v>
      </c>
      <c r="S225">
        <v>8</v>
      </c>
      <c r="T225">
        <v>7</v>
      </c>
      <c r="U225">
        <v>8</v>
      </c>
      <c r="V225">
        <v>8</v>
      </c>
      <c r="W225" t="s">
        <v>69</v>
      </c>
      <c r="X225" t="s">
        <v>70</v>
      </c>
      <c r="Y225" t="s">
        <v>37</v>
      </c>
      <c r="Z225">
        <v>31</v>
      </c>
      <c r="AA225" t="s">
        <v>57</v>
      </c>
      <c r="AB225" t="str">
        <f t="shared" si="33"/>
        <v>Other</v>
      </c>
      <c r="AC225" t="s">
        <v>237</v>
      </c>
      <c r="AD225" t="str">
        <f t="shared" si="34"/>
        <v>Bachelors</v>
      </c>
      <c r="AE225" t="s">
        <v>58</v>
      </c>
      <c r="AF225" t="str">
        <f t="shared" si="35"/>
        <v>Black or African American</v>
      </c>
    </row>
    <row r="226" spans="1:32" x14ac:dyDescent="0.45">
      <c r="A226" t="s">
        <v>737</v>
      </c>
      <c r="B226" t="s">
        <v>25</v>
      </c>
      <c r="C226" s="3" t="s">
        <v>26</v>
      </c>
      <c r="D226" s="3">
        <f t="shared" si="27"/>
        <v>44840</v>
      </c>
      <c r="E226" t="s">
        <v>738</v>
      </c>
      <c r="F226" s="4">
        <f t="shared" si="28"/>
        <v>0.54722222222222228</v>
      </c>
      <c r="G226" t="s">
        <v>89</v>
      </c>
      <c r="H226" t="s">
        <v>30</v>
      </c>
      <c r="I226" t="str">
        <f t="shared" si="29"/>
        <v>Data Analyst</v>
      </c>
      <c r="J226" t="s">
        <v>43</v>
      </c>
      <c r="K226" t="s">
        <v>53</v>
      </c>
      <c r="L226">
        <f t="shared" si="30"/>
        <v>20</v>
      </c>
      <c r="M226" t="s">
        <v>33</v>
      </c>
      <c r="N226" t="str">
        <f t="shared" si="31"/>
        <v>Healthcare</v>
      </c>
      <c r="O226" t="s">
        <v>34</v>
      </c>
      <c r="P226" t="str">
        <f t="shared" si="32"/>
        <v>Python</v>
      </c>
      <c r="Q226">
        <v>0</v>
      </c>
      <c r="R226">
        <v>10</v>
      </c>
      <c r="S226">
        <v>10</v>
      </c>
      <c r="T226">
        <v>10</v>
      </c>
      <c r="U226">
        <v>10</v>
      </c>
      <c r="V226">
        <v>10</v>
      </c>
      <c r="W226" t="s">
        <v>69</v>
      </c>
      <c r="X226" t="s">
        <v>70</v>
      </c>
      <c r="Y226" t="s">
        <v>37</v>
      </c>
      <c r="Z226">
        <v>22</v>
      </c>
      <c r="AA226" t="s">
        <v>739</v>
      </c>
      <c r="AB226" t="str">
        <f t="shared" si="33"/>
        <v>Other</v>
      </c>
      <c r="AC226" t="s">
        <v>237</v>
      </c>
      <c r="AD226" t="str">
        <f t="shared" si="34"/>
        <v>Bachelors</v>
      </c>
      <c r="AE226" t="s">
        <v>740</v>
      </c>
      <c r="AF226" t="str">
        <f t="shared" si="35"/>
        <v>Native Hawaiian or other Pacific Islander</v>
      </c>
    </row>
    <row r="227" spans="1:32" x14ac:dyDescent="0.45">
      <c r="A227" t="s">
        <v>741</v>
      </c>
      <c r="B227" t="s">
        <v>25</v>
      </c>
      <c r="C227" s="3" t="s">
        <v>26</v>
      </c>
      <c r="D227" s="3">
        <f t="shared" si="27"/>
        <v>44840</v>
      </c>
      <c r="E227" t="s">
        <v>738</v>
      </c>
      <c r="F227" s="4">
        <f t="shared" si="28"/>
        <v>0.54722222222222228</v>
      </c>
      <c r="G227" t="s">
        <v>68</v>
      </c>
      <c r="H227" t="s">
        <v>30</v>
      </c>
      <c r="I227" t="str">
        <f t="shared" si="29"/>
        <v>Data Analyst</v>
      </c>
      <c r="J227" t="s">
        <v>43</v>
      </c>
      <c r="K227" t="s">
        <v>94</v>
      </c>
      <c r="L227">
        <f t="shared" si="30"/>
        <v>75.5</v>
      </c>
      <c r="M227" t="s">
        <v>45</v>
      </c>
      <c r="N227" t="str">
        <f t="shared" si="31"/>
        <v>Finance</v>
      </c>
      <c r="O227" t="s">
        <v>34</v>
      </c>
      <c r="P227" t="str">
        <f t="shared" si="32"/>
        <v>Python</v>
      </c>
      <c r="Q227">
        <v>3</v>
      </c>
      <c r="R227">
        <v>5</v>
      </c>
      <c r="S227">
        <v>5</v>
      </c>
      <c r="T227">
        <v>5</v>
      </c>
      <c r="U227">
        <v>3</v>
      </c>
      <c r="V227">
        <v>3</v>
      </c>
      <c r="W227" t="s">
        <v>35</v>
      </c>
      <c r="X227" t="s">
        <v>70</v>
      </c>
      <c r="Y227" t="s">
        <v>37</v>
      </c>
      <c r="Z227">
        <v>29</v>
      </c>
      <c r="AA227" t="s">
        <v>38</v>
      </c>
      <c r="AB227" t="str">
        <f t="shared" si="33"/>
        <v>United States</v>
      </c>
      <c r="AC227" t="s">
        <v>240</v>
      </c>
      <c r="AD227" t="str">
        <f t="shared" si="34"/>
        <v>Masters</v>
      </c>
      <c r="AE227" t="s">
        <v>91</v>
      </c>
      <c r="AF227" t="str">
        <f t="shared" si="35"/>
        <v>Hispanic or Latino</v>
      </c>
    </row>
    <row r="228" spans="1:32" x14ac:dyDescent="0.45">
      <c r="A228" t="s">
        <v>742</v>
      </c>
      <c r="B228" t="s">
        <v>25</v>
      </c>
      <c r="C228" s="3" t="s">
        <v>26</v>
      </c>
      <c r="D228" s="3">
        <f t="shared" si="27"/>
        <v>44840</v>
      </c>
      <c r="E228" t="s">
        <v>743</v>
      </c>
      <c r="F228" s="4">
        <f t="shared" si="28"/>
        <v>0.54791666666666672</v>
      </c>
      <c r="G228" t="s">
        <v>265</v>
      </c>
      <c r="H228" t="s">
        <v>77</v>
      </c>
      <c r="I228" t="str">
        <f t="shared" si="29"/>
        <v>Data Scientist</v>
      </c>
      <c r="J228" t="s">
        <v>31</v>
      </c>
      <c r="K228" t="s">
        <v>53</v>
      </c>
      <c r="L228">
        <f t="shared" si="30"/>
        <v>20</v>
      </c>
      <c r="M228" t="s">
        <v>103</v>
      </c>
      <c r="N228" t="str">
        <f t="shared" si="31"/>
        <v>Tech</v>
      </c>
      <c r="O228" t="s">
        <v>34</v>
      </c>
      <c r="P228" t="str">
        <f t="shared" si="32"/>
        <v>Python</v>
      </c>
      <c r="Q228">
        <v>4</v>
      </c>
      <c r="R228">
        <v>4</v>
      </c>
      <c r="S228">
        <v>4</v>
      </c>
      <c r="T228">
        <v>0</v>
      </c>
      <c r="U228">
        <v>0</v>
      </c>
      <c r="V228">
        <v>6</v>
      </c>
      <c r="W228" t="s">
        <v>69</v>
      </c>
      <c r="X228" t="s">
        <v>114</v>
      </c>
      <c r="Y228" t="s">
        <v>37</v>
      </c>
      <c r="Z228">
        <v>23</v>
      </c>
      <c r="AA228" t="s">
        <v>744</v>
      </c>
      <c r="AB228" t="str">
        <f t="shared" si="33"/>
        <v>Other</v>
      </c>
      <c r="AC228" t="s">
        <v>237</v>
      </c>
      <c r="AD228" t="str">
        <f t="shared" si="34"/>
        <v>Bachelors</v>
      </c>
      <c r="AE228" t="s">
        <v>200</v>
      </c>
      <c r="AF228" t="str">
        <f t="shared" si="35"/>
        <v>Other</v>
      </c>
    </row>
    <row r="229" spans="1:32" x14ac:dyDescent="0.45">
      <c r="A229" t="s">
        <v>745</v>
      </c>
      <c r="B229" t="s">
        <v>25</v>
      </c>
      <c r="C229" s="3" t="s">
        <v>26</v>
      </c>
      <c r="D229" s="3">
        <f t="shared" si="27"/>
        <v>44840</v>
      </c>
      <c r="E229" t="s">
        <v>746</v>
      </c>
      <c r="F229" s="4">
        <f t="shared" si="28"/>
        <v>0.55000000000000004</v>
      </c>
      <c r="G229" t="s">
        <v>81</v>
      </c>
      <c r="H229" t="s">
        <v>123</v>
      </c>
      <c r="I229" t="str">
        <f t="shared" si="29"/>
        <v>None</v>
      </c>
      <c r="J229" t="s">
        <v>43</v>
      </c>
      <c r="K229" t="s">
        <v>53</v>
      </c>
      <c r="L229">
        <f t="shared" si="30"/>
        <v>20</v>
      </c>
      <c r="M229" t="s">
        <v>747</v>
      </c>
      <c r="N229" t="str">
        <f t="shared" si="31"/>
        <v>Other</v>
      </c>
      <c r="O229" t="s">
        <v>748</v>
      </c>
      <c r="P229" t="str">
        <f t="shared" si="32"/>
        <v>Other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 t="s">
        <v>85</v>
      </c>
      <c r="X229" t="s">
        <v>36</v>
      </c>
      <c r="Y229" t="s">
        <v>65</v>
      </c>
      <c r="Z229">
        <v>24</v>
      </c>
      <c r="AA229" t="s">
        <v>38</v>
      </c>
      <c r="AB229" t="str">
        <f t="shared" si="33"/>
        <v>United States</v>
      </c>
      <c r="AC229" t="s">
        <v>227</v>
      </c>
      <c r="AD229" t="str">
        <f t="shared" si="34"/>
        <v>High School</v>
      </c>
      <c r="AE229" t="s">
        <v>91</v>
      </c>
      <c r="AF229" t="str">
        <f t="shared" si="35"/>
        <v>Hispanic or Latino</v>
      </c>
    </row>
    <row r="230" spans="1:32" x14ac:dyDescent="0.45">
      <c r="A230" t="s">
        <v>749</v>
      </c>
      <c r="B230" t="s">
        <v>25</v>
      </c>
      <c r="C230" s="3" t="s">
        <v>26</v>
      </c>
      <c r="D230" s="3">
        <f t="shared" si="27"/>
        <v>44840</v>
      </c>
      <c r="E230" t="s">
        <v>750</v>
      </c>
      <c r="F230" s="4">
        <f t="shared" si="28"/>
        <v>0.55069444444444449</v>
      </c>
      <c r="G230" t="s">
        <v>751</v>
      </c>
      <c r="H230" t="s">
        <v>30</v>
      </c>
      <c r="I230" t="str">
        <f t="shared" si="29"/>
        <v>Data Analyst</v>
      </c>
      <c r="J230" t="s">
        <v>31</v>
      </c>
      <c r="K230" t="s">
        <v>94</v>
      </c>
      <c r="L230">
        <f t="shared" si="30"/>
        <v>75.5</v>
      </c>
      <c r="M230" t="s">
        <v>752</v>
      </c>
      <c r="N230" t="str">
        <f t="shared" si="31"/>
        <v>Other</v>
      </c>
      <c r="O230" t="s">
        <v>34</v>
      </c>
      <c r="P230" t="str">
        <f t="shared" si="32"/>
        <v>Python</v>
      </c>
      <c r="Q230">
        <v>5</v>
      </c>
      <c r="R230">
        <v>9</v>
      </c>
      <c r="S230">
        <v>10</v>
      </c>
      <c r="T230">
        <v>10</v>
      </c>
      <c r="U230">
        <v>5</v>
      </c>
      <c r="V230">
        <v>10</v>
      </c>
      <c r="W230" t="s">
        <v>85</v>
      </c>
      <c r="X230" t="s">
        <v>70</v>
      </c>
      <c r="Y230" t="s">
        <v>37</v>
      </c>
      <c r="Z230">
        <v>26</v>
      </c>
      <c r="AA230" t="s">
        <v>38</v>
      </c>
      <c r="AB230" t="str">
        <f t="shared" si="33"/>
        <v>United States</v>
      </c>
      <c r="AC230" t="s">
        <v>237</v>
      </c>
      <c r="AD230" t="str">
        <f t="shared" si="34"/>
        <v>Bachelors</v>
      </c>
      <c r="AE230" t="s">
        <v>58</v>
      </c>
      <c r="AF230" t="str">
        <f t="shared" si="35"/>
        <v>Black or African American</v>
      </c>
    </row>
    <row r="231" spans="1:32" x14ac:dyDescent="0.45">
      <c r="A231" t="s">
        <v>753</v>
      </c>
      <c r="B231" t="s">
        <v>25</v>
      </c>
      <c r="C231" s="3" t="s">
        <v>26</v>
      </c>
      <c r="D231" s="3">
        <f t="shared" si="27"/>
        <v>44840</v>
      </c>
      <c r="E231" t="s">
        <v>754</v>
      </c>
      <c r="F231" s="4">
        <f t="shared" si="28"/>
        <v>0.55277777777777781</v>
      </c>
      <c r="G231" t="s">
        <v>42</v>
      </c>
      <c r="H231" t="s">
        <v>123</v>
      </c>
      <c r="I231" t="str">
        <f t="shared" si="29"/>
        <v>None</v>
      </c>
      <c r="J231" t="s">
        <v>31</v>
      </c>
      <c r="K231" t="s">
        <v>53</v>
      </c>
      <c r="L231">
        <f t="shared" si="30"/>
        <v>20</v>
      </c>
      <c r="M231" t="s">
        <v>45</v>
      </c>
      <c r="N231" t="str">
        <f t="shared" si="31"/>
        <v>Finance</v>
      </c>
      <c r="O231" t="s">
        <v>34</v>
      </c>
      <c r="P231" t="str">
        <f t="shared" si="32"/>
        <v>Python</v>
      </c>
      <c r="Q231">
        <v>4</v>
      </c>
      <c r="R231">
        <v>3</v>
      </c>
      <c r="S231">
        <v>5</v>
      </c>
      <c r="T231">
        <v>2</v>
      </c>
      <c r="U231">
        <v>2</v>
      </c>
      <c r="V231">
        <v>3</v>
      </c>
      <c r="W231" t="s">
        <v>69</v>
      </c>
      <c r="X231" t="s">
        <v>114</v>
      </c>
      <c r="Y231" t="s">
        <v>37</v>
      </c>
      <c r="Z231">
        <v>31</v>
      </c>
      <c r="AA231" t="s">
        <v>147</v>
      </c>
      <c r="AB231" t="str">
        <f t="shared" si="33"/>
        <v>India</v>
      </c>
      <c r="AC231" t="s">
        <v>237</v>
      </c>
      <c r="AD231" t="str">
        <f t="shared" si="34"/>
        <v>Bachelors</v>
      </c>
      <c r="AE231" t="s">
        <v>48</v>
      </c>
      <c r="AF231" t="str">
        <f t="shared" si="35"/>
        <v>Asian or Asian American</v>
      </c>
    </row>
    <row r="232" spans="1:32" x14ac:dyDescent="0.45">
      <c r="A232" t="s">
        <v>755</v>
      </c>
      <c r="B232" t="s">
        <v>25</v>
      </c>
      <c r="C232" s="3" t="s">
        <v>26</v>
      </c>
      <c r="D232" s="3">
        <f t="shared" si="27"/>
        <v>44840</v>
      </c>
      <c r="E232" t="s">
        <v>756</v>
      </c>
      <c r="F232" s="4">
        <f t="shared" si="28"/>
        <v>0.55555555555555558</v>
      </c>
      <c r="G232" t="s">
        <v>615</v>
      </c>
      <c r="H232" t="s">
        <v>30</v>
      </c>
      <c r="I232" t="str">
        <f t="shared" si="29"/>
        <v>Data Analyst</v>
      </c>
      <c r="J232" t="s">
        <v>31</v>
      </c>
      <c r="K232" t="s">
        <v>53</v>
      </c>
      <c r="L232">
        <f t="shared" si="30"/>
        <v>20</v>
      </c>
      <c r="M232" t="s">
        <v>757</v>
      </c>
      <c r="N232" t="str">
        <f t="shared" si="31"/>
        <v>Other</v>
      </c>
      <c r="O232" t="s">
        <v>34</v>
      </c>
      <c r="P232" t="str">
        <f t="shared" si="32"/>
        <v>Python</v>
      </c>
      <c r="Q232">
        <v>1</v>
      </c>
      <c r="R232">
        <v>1</v>
      </c>
      <c r="S232">
        <v>1</v>
      </c>
      <c r="T232">
        <v>1</v>
      </c>
      <c r="U232">
        <v>7</v>
      </c>
      <c r="V232">
        <v>9</v>
      </c>
      <c r="W232" t="s">
        <v>85</v>
      </c>
      <c r="X232" t="s">
        <v>36</v>
      </c>
      <c r="Y232" t="s">
        <v>37</v>
      </c>
      <c r="Z232">
        <v>22</v>
      </c>
      <c r="AA232" t="s">
        <v>758</v>
      </c>
      <c r="AB232" t="str">
        <f t="shared" si="33"/>
        <v>Other</v>
      </c>
      <c r="AC232" t="s">
        <v>237</v>
      </c>
      <c r="AD232" t="str">
        <f t="shared" si="34"/>
        <v>Bachelors</v>
      </c>
      <c r="AE232" t="s">
        <v>58</v>
      </c>
      <c r="AF232" t="str">
        <f t="shared" si="35"/>
        <v>Black or African American</v>
      </c>
    </row>
    <row r="233" spans="1:32" x14ac:dyDescent="0.45">
      <c r="A233" t="s">
        <v>759</v>
      </c>
      <c r="B233" t="s">
        <v>25</v>
      </c>
      <c r="C233" s="3" t="s">
        <v>26</v>
      </c>
      <c r="D233" s="3">
        <f t="shared" si="27"/>
        <v>44840</v>
      </c>
      <c r="E233" t="s">
        <v>760</v>
      </c>
      <c r="F233" s="4">
        <f t="shared" si="28"/>
        <v>0.56180555555555556</v>
      </c>
      <c r="G233" t="s">
        <v>206</v>
      </c>
      <c r="H233" t="s">
        <v>30</v>
      </c>
      <c r="I233" t="str">
        <f t="shared" si="29"/>
        <v>Data Analyst</v>
      </c>
      <c r="J233" t="s">
        <v>31</v>
      </c>
      <c r="K233" t="s">
        <v>94</v>
      </c>
      <c r="L233">
        <f t="shared" si="30"/>
        <v>75.5</v>
      </c>
      <c r="M233" t="s">
        <v>761</v>
      </c>
      <c r="N233" t="str">
        <f t="shared" si="31"/>
        <v>Other</v>
      </c>
      <c r="O233" t="s">
        <v>34</v>
      </c>
      <c r="P233" t="str">
        <f t="shared" si="32"/>
        <v>Python</v>
      </c>
      <c r="Q233">
        <v>7</v>
      </c>
      <c r="R233">
        <v>8</v>
      </c>
      <c r="S233">
        <v>10</v>
      </c>
      <c r="T233">
        <v>8</v>
      </c>
      <c r="U233">
        <v>7</v>
      </c>
      <c r="V233">
        <v>5</v>
      </c>
      <c r="W233" t="s">
        <v>85</v>
      </c>
      <c r="X233" t="s">
        <v>36</v>
      </c>
      <c r="Y233" t="s">
        <v>37</v>
      </c>
      <c r="Z233">
        <v>31</v>
      </c>
      <c r="AA233" t="s">
        <v>267</v>
      </c>
      <c r="AB233" t="str">
        <f t="shared" si="33"/>
        <v>Other</v>
      </c>
      <c r="AC233" t="s">
        <v>237</v>
      </c>
      <c r="AD233" t="str">
        <f t="shared" si="34"/>
        <v>Bachelors</v>
      </c>
      <c r="AE233" t="s">
        <v>39</v>
      </c>
      <c r="AF233" t="str">
        <f t="shared" si="35"/>
        <v>White or Caucasian</v>
      </c>
    </row>
    <row r="234" spans="1:32" x14ac:dyDescent="0.45">
      <c r="A234" t="s">
        <v>762</v>
      </c>
      <c r="B234" t="s">
        <v>25</v>
      </c>
      <c r="C234" s="3" t="s">
        <v>26</v>
      </c>
      <c r="D234" s="3">
        <f t="shared" si="27"/>
        <v>44840</v>
      </c>
      <c r="E234" t="s">
        <v>763</v>
      </c>
      <c r="F234" s="4">
        <f t="shared" si="28"/>
        <v>0.56319444444444444</v>
      </c>
      <c r="G234" t="s">
        <v>128</v>
      </c>
      <c r="H234" t="s">
        <v>123</v>
      </c>
      <c r="I234" t="str">
        <f t="shared" si="29"/>
        <v>None</v>
      </c>
      <c r="J234" t="s">
        <v>31</v>
      </c>
      <c r="K234" t="s">
        <v>53</v>
      </c>
      <c r="L234">
        <f t="shared" si="30"/>
        <v>20</v>
      </c>
      <c r="M234" t="s">
        <v>103</v>
      </c>
      <c r="N234" t="str">
        <f t="shared" si="31"/>
        <v>Tech</v>
      </c>
      <c r="O234" t="s">
        <v>34</v>
      </c>
      <c r="P234" t="str">
        <f t="shared" si="32"/>
        <v>Python</v>
      </c>
      <c r="Q234">
        <v>0</v>
      </c>
      <c r="R234">
        <v>4</v>
      </c>
      <c r="S234">
        <v>0</v>
      </c>
      <c r="T234">
        <v>0</v>
      </c>
      <c r="U234">
        <v>4</v>
      </c>
      <c r="V234">
        <v>5</v>
      </c>
      <c r="W234" t="s">
        <v>85</v>
      </c>
      <c r="X234" t="s">
        <v>70</v>
      </c>
      <c r="Y234" t="s">
        <v>37</v>
      </c>
      <c r="Z234">
        <v>27</v>
      </c>
      <c r="AA234" t="s">
        <v>38</v>
      </c>
      <c r="AB234" t="str">
        <f t="shared" si="33"/>
        <v>United States</v>
      </c>
      <c r="AC234" t="s">
        <v>240</v>
      </c>
      <c r="AD234" t="str">
        <f t="shared" si="34"/>
        <v>Masters</v>
      </c>
      <c r="AE234" t="s">
        <v>48</v>
      </c>
      <c r="AF234" t="str">
        <f t="shared" si="35"/>
        <v>Asian or Asian American</v>
      </c>
    </row>
    <row r="235" spans="1:32" x14ac:dyDescent="0.45">
      <c r="A235" t="s">
        <v>764</v>
      </c>
      <c r="B235" t="s">
        <v>25</v>
      </c>
      <c r="C235" s="3" t="s">
        <v>26</v>
      </c>
      <c r="D235" s="3">
        <f t="shared" si="27"/>
        <v>44840</v>
      </c>
      <c r="E235" t="s">
        <v>765</v>
      </c>
      <c r="F235" s="4">
        <f t="shared" si="28"/>
        <v>0.56388888888888888</v>
      </c>
      <c r="G235" t="s">
        <v>317</v>
      </c>
      <c r="H235" t="s">
        <v>123</v>
      </c>
      <c r="I235" t="str">
        <f t="shared" si="29"/>
        <v>None</v>
      </c>
      <c r="J235" t="s">
        <v>43</v>
      </c>
      <c r="K235" t="s">
        <v>53</v>
      </c>
      <c r="L235">
        <f t="shared" si="30"/>
        <v>20</v>
      </c>
      <c r="M235" t="s">
        <v>766</v>
      </c>
      <c r="N235" t="str">
        <f t="shared" si="31"/>
        <v>Other</v>
      </c>
      <c r="O235" t="s">
        <v>34</v>
      </c>
      <c r="P235" t="str">
        <f t="shared" si="32"/>
        <v>Python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 t="s">
        <v>69</v>
      </c>
      <c r="X235" t="s">
        <v>70</v>
      </c>
      <c r="Y235" t="s">
        <v>65</v>
      </c>
      <c r="Z235">
        <v>25</v>
      </c>
      <c r="AA235" t="s">
        <v>38</v>
      </c>
      <c r="AB235" t="str">
        <f t="shared" si="33"/>
        <v>United States</v>
      </c>
      <c r="AC235" t="s">
        <v>237</v>
      </c>
      <c r="AD235" t="str">
        <f t="shared" si="34"/>
        <v>Bachelors</v>
      </c>
      <c r="AE235" t="s">
        <v>48</v>
      </c>
      <c r="AF235" t="str">
        <f t="shared" si="35"/>
        <v>Asian or Asian American</v>
      </c>
    </row>
    <row r="236" spans="1:32" x14ac:dyDescent="0.45">
      <c r="A236" t="s">
        <v>767</v>
      </c>
      <c r="B236" t="s">
        <v>25</v>
      </c>
      <c r="C236" s="3" t="s">
        <v>26</v>
      </c>
      <c r="D236" s="3">
        <f t="shared" si="27"/>
        <v>44840</v>
      </c>
      <c r="E236" t="s">
        <v>768</v>
      </c>
      <c r="F236" s="4">
        <f t="shared" si="28"/>
        <v>0.56736111111111109</v>
      </c>
      <c r="G236" t="s">
        <v>769</v>
      </c>
      <c r="H236" t="s">
        <v>30</v>
      </c>
      <c r="I236" t="str">
        <f t="shared" si="29"/>
        <v>Data Analyst</v>
      </c>
      <c r="J236" t="s">
        <v>31</v>
      </c>
      <c r="K236" t="s">
        <v>53</v>
      </c>
      <c r="L236">
        <f t="shared" si="30"/>
        <v>20</v>
      </c>
      <c r="M236" t="s">
        <v>33</v>
      </c>
      <c r="N236" t="str">
        <f t="shared" si="31"/>
        <v>Healthcare</v>
      </c>
      <c r="O236" t="s">
        <v>34</v>
      </c>
      <c r="P236" t="str">
        <f t="shared" si="32"/>
        <v>Python</v>
      </c>
      <c r="Q236">
        <v>4</v>
      </c>
      <c r="R236">
        <v>10</v>
      </c>
      <c r="S236">
        <v>10</v>
      </c>
      <c r="T236">
        <v>8</v>
      </c>
      <c r="U236">
        <v>8</v>
      </c>
      <c r="V236">
        <v>10</v>
      </c>
      <c r="W236" t="s">
        <v>55</v>
      </c>
      <c r="X236" t="s">
        <v>56</v>
      </c>
      <c r="Y236" t="s">
        <v>37</v>
      </c>
      <c r="Z236">
        <v>30</v>
      </c>
      <c r="AA236" t="s">
        <v>261</v>
      </c>
      <c r="AB236" t="str">
        <f t="shared" si="33"/>
        <v>Other</v>
      </c>
      <c r="AC236" t="s">
        <v>240</v>
      </c>
      <c r="AD236" t="str">
        <f t="shared" si="34"/>
        <v>Masters</v>
      </c>
      <c r="AE236" t="s">
        <v>91</v>
      </c>
      <c r="AF236" t="str">
        <f t="shared" si="35"/>
        <v>Hispanic or Latino</v>
      </c>
    </row>
    <row r="237" spans="1:32" x14ac:dyDescent="0.45">
      <c r="A237" t="s">
        <v>770</v>
      </c>
      <c r="B237" t="s">
        <v>25</v>
      </c>
      <c r="C237" s="3" t="s">
        <v>26</v>
      </c>
      <c r="D237" s="3">
        <f t="shared" si="27"/>
        <v>44840</v>
      </c>
      <c r="E237" t="s">
        <v>771</v>
      </c>
      <c r="F237" s="4">
        <f t="shared" si="28"/>
        <v>0.56874999999999998</v>
      </c>
      <c r="G237" t="s">
        <v>250</v>
      </c>
      <c r="H237" t="s">
        <v>30</v>
      </c>
      <c r="I237" t="str">
        <f t="shared" si="29"/>
        <v>Data Analyst</v>
      </c>
      <c r="J237" t="s">
        <v>31</v>
      </c>
      <c r="K237" t="s">
        <v>44</v>
      </c>
      <c r="L237">
        <f t="shared" si="30"/>
        <v>53</v>
      </c>
      <c r="M237" t="s">
        <v>33</v>
      </c>
      <c r="N237" t="str">
        <f t="shared" si="31"/>
        <v>Healthcare</v>
      </c>
      <c r="O237" t="s">
        <v>46</v>
      </c>
      <c r="P237" t="str">
        <f t="shared" si="32"/>
        <v>R</v>
      </c>
      <c r="Q237">
        <v>0</v>
      </c>
      <c r="R237">
        <v>6</v>
      </c>
      <c r="S237">
        <v>5</v>
      </c>
      <c r="T237">
        <v>6</v>
      </c>
      <c r="U237">
        <v>0</v>
      </c>
      <c r="V237">
        <v>2</v>
      </c>
      <c r="W237" t="s">
        <v>55</v>
      </c>
      <c r="X237" t="s">
        <v>772</v>
      </c>
      <c r="Y237" t="s">
        <v>37</v>
      </c>
      <c r="Z237">
        <v>28</v>
      </c>
      <c r="AA237" t="s">
        <v>38</v>
      </c>
      <c r="AB237" t="str">
        <f t="shared" si="33"/>
        <v>United States</v>
      </c>
      <c r="AC237" t="s">
        <v>240</v>
      </c>
      <c r="AD237" t="str">
        <f t="shared" si="34"/>
        <v>Masters</v>
      </c>
      <c r="AE237" t="s">
        <v>91</v>
      </c>
      <c r="AF237" t="str">
        <f t="shared" si="35"/>
        <v>Hispanic or Latino</v>
      </c>
    </row>
    <row r="238" spans="1:32" x14ac:dyDescent="0.45">
      <c r="A238" t="s">
        <v>773</v>
      </c>
      <c r="B238" t="s">
        <v>25</v>
      </c>
      <c r="C238" s="3" t="s">
        <v>26</v>
      </c>
      <c r="D238" s="3">
        <f t="shared" si="27"/>
        <v>44840</v>
      </c>
      <c r="E238" t="s">
        <v>774</v>
      </c>
      <c r="F238" s="4">
        <f t="shared" si="28"/>
        <v>0.56944444444444442</v>
      </c>
      <c r="G238" t="s">
        <v>171</v>
      </c>
      <c r="H238" t="s">
        <v>30</v>
      </c>
      <c r="I238" t="str">
        <f t="shared" si="29"/>
        <v>Data Analyst</v>
      </c>
      <c r="J238" t="s">
        <v>43</v>
      </c>
      <c r="K238" t="s">
        <v>82</v>
      </c>
      <c r="L238">
        <f t="shared" si="30"/>
        <v>137.5</v>
      </c>
      <c r="M238" t="s">
        <v>45</v>
      </c>
      <c r="N238" t="str">
        <f t="shared" si="31"/>
        <v>Finance</v>
      </c>
      <c r="O238" t="s">
        <v>34</v>
      </c>
      <c r="P238" t="str">
        <f t="shared" si="32"/>
        <v>Python</v>
      </c>
      <c r="Q238">
        <v>6</v>
      </c>
      <c r="R238">
        <v>6</v>
      </c>
      <c r="S238">
        <v>5</v>
      </c>
      <c r="T238">
        <v>4</v>
      </c>
      <c r="U238">
        <v>2</v>
      </c>
      <c r="V238">
        <v>4</v>
      </c>
      <c r="W238" t="s">
        <v>55</v>
      </c>
      <c r="X238" t="s">
        <v>36</v>
      </c>
      <c r="Y238" t="s">
        <v>37</v>
      </c>
      <c r="Z238">
        <v>26</v>
      </c>
      <c r="AA238" t="s">
        <v>38</v>
      </c>
      <c r="AB238" t="str">
        <f t="shared" si="33"/>
        <v>United States</v>
      </c>
      <c r="AC238" t="s">
        <v>237</v>
      </c>
      <c r="AD238" t="str">
        <f t="shared" si="34"/>
        <v>Bachelors</v>
      </c>
      <c r="AE238" t="s">
        <v>39</v>
      </c>
      <c r="AF238" t="str">
        <f t="shared" si="35"/>
        <v>White or Caucasian</v>
      </c>
    </row>
    <row r="239" spans="1:32" x14ac:dyDescent="0.45">
      <c r="A239" t="s">
        <v>775</v>
      </c>
      <c r="B239" t="s">
        <v>25</v>
      </c>
      <c r="C239" s="3" t="s">
        <v>26</v>
      </c>
      <c r="D239" s="3">
        <f t="shared" si="27"/>
        <v>44840</v>
      </c>
      <c r="E239" t="s">
        <v>776</v>
      </c>
      <c r="F239" s="4">
        <f t="shared" si="28"/>
        <v>0.57708333333333328</v>
      </c>
      <c r="G239" t="s">
        <v>682</v>
      </c>
      <c r="H239" t="s">
        <v>77</v>
      </c>
      <c r="I239" t="str">
        <f t="shared" si="29"/>
        <v>Data Scientist</v>
      </c>
      <c r="J239" t="s">
        <v>31</v>
      </c>
      <c r="K239" t="s">
        <v>82</v>
      </c>
      <c r="L239">
        <f t="shared" si="30"/>
        <v>137.5</v>
      </c>
      <c r="M239" t="s">
        <v>83</v>
      </c>
      <c r="N239" t="str">
        <f t="shared" si="31"/>
        <v>Other</v>
      </c>
      <c r="O239" t="s">
        <v>34</v>
      </c>
      <c r="P239" t="str">
        <f t="shared" si="32"/>
        <v>Python</v>
      </c>
      <c r="Q239">
        <v>6</v>
      </c>
      <c r="R239">
        <v>7</v>
      </c>
      <c r="S239">
        <v>7</v>
      </c>
      <c r="T239">
        <v>10</v>
      </c>
      <c r="U239">
        <v>6</v>
      </c>
      <c r="V239">
        <v>7</v>
      </c>
      <c r="W239" t="s">
        <v>85</v>
      </c>
      <c r="X239" t="s">
        <v>36</v>
      </c>
      <c r="Y239" t="s">
        <v>65</v>
      </c>
      <c r="Z239">
        <v>32</v>
      </c>
      <c r="AA239" t="s">
        <v>38</v>
      </c>
      <c r="AB239" t="str">
        <f t="shared" si="33"/>
        <v>United States</v>
      </c>
      <c r="AC239" t="s">
        <v>240</v>
      </c>
      <c r="AD239" t="str">
        <f t="shared" si="34"/>
        <v>Masters</v>
      </c>
      <c r="AE239" t="s">
        <v>39</v>
      </c>
      <c r="AF239" t="str">
        <f t="shared" si="35"/>
        <v>White or Caucasian</v>
      </c>
    </row>
    <row r="240" spans="1:32" x14ac:dyDescent="0.45">
      <c r="A240" t="s">
        <v>777</v>
      </c>
      <c r="B240" t="s">
        <v>25</v>
      </c>
      <c r="C240" s="3" t="s">
        <v>26</v>
      </c>
      <c r="D240" s="3">
        <f t="shared" si="27"/>
        <v>44840</v>
      </c>
      <c r="E240" t="s">
        <v>778</v>
      </c>
      <c r="F240" s="4">
        <f t="shared" si="28"/>
        <v>0.57777777777777772</v>
      </c>
      <c r="G240" t="s">
        <v>304</v>
      </c>
      <c r="H240" t="s">
        <v>30</v>
      </c>
      <c r="I240" t="str">
        <f t="shared" si="29"/>
        <v>Data Analyst</v>
      </c>
      <c r="J240" t="s">
        <v>31</v>
      </c>
      <c r="K240" t="s">
        <v>53</v>
      </c>
      <c r="L240">
        <f t="shared" si="30"/>
        <v>20</v>
      </c>
      <c r="M240" t="s">
        <v>779</v>
      </c>
      <c r="N240" t="str">
        <f t="shared" si="31"/>
        <v>Other</v>
      </c>
      <c r="O240" t="s">
        <v>318</v>
      </c>
      <c r="P240" t="str">
        <f t="shared" si="32"/>
        <v>Other</v>
      </c>
      <c r="Q240">
        <v>3</v>
      </c>
      <c r="R240">
        <v>5</v>
      </c>
      <c r="S240">
        <v>6</v>
      </c>
      <c r="T240">
        <v>4</v>
      </c>
      <c r="U240">
        <v>6</v>
      </c>
      <c r="V240">
        <v>6</v>
      </c>
      <c r="W240" t="s">
        <v>85</v>
      </c>
      <c r="X240" t="s">
        <v>70</v>
      </c>
      <c r="Y240" t="s">
        <v>65</v>
      </c>
      <c r="Z240">
        <v>40</v>
      </c>
      <c r="AA240" t="s">
        <v>500</v>
      </c>
      <c r="AB240" t="str">
        <f t="shared" si="33"/>
        <v>Other</v>
      </c>
      <c r="AC240" t="s">
        <v>324</v>
      </c>
      <c r="AD240" t="str">
        <f t="shared" si="34"/>
        <v>PhD</v>
      </c>
      <c r="AE240" t="s">
        <v>39</v>
      </c>
      <c r="AF240" t="str">
        <f t="shared" si="35"/>
        <v>White or Caucasian</v>
      </c>
    </row>
    <row r="241" spans="1:32" x14ac:dyDescent="0.45">
      <c r="A241" t="s">
        <v>780</v>
      </c>
      <c r="B241" t="s">
        <v>25</v>
      </c>
      <c r="C241" s="3" t="s">
        <v>26</v>
      </c>
      <c r="D241" s="3">
        <f t="shared" si="27"/>
        <v>44840</v>
      </c>
      <c r="E241" t="s">
        <v>781</v>
      </c>
      <c r="F241" s="4">
        <f t="shared" si="28"/>
        <v>0.57916666666666672</v>
      </c>
      <c r="G241" t="s">
        <v>193</v>
      </c>
      <c r="H241" t="s">
        <v>52</v>
      </c>
      <c r="I241" t="str">
        <f t="shared" si="29"/>
        <v>Data Engineer</v>
      </c>
      <c r="J241" t="s">
        <v>31</v>
      </c>
      <c r="K241" t="s">
        <v>53</v>
      </c>
      <c r="L241">
        <f t="shared" si="30"/>
        <v>20</v>
      </c>
      <c r="M241" t="s">
        <v>491</v>
      </c>
      <c r="N241" t="str">
        <f t="shared" si="31"/>
        <v>Other</v>
      </c>
      <c r="O241" t="s">
        <v>34</v>
      </c>
      <c r="P241" t="str">
        <f t="shared" si="32"/>
        <v>Python</v>
      </c>
      <c r="Q241">
        <v>4</v>
      </c>
      <c r="R241">
        <v>7</v>
      </c>
      <c r="S241">
        <v>7</v>
      </c>
      <c r="T241">
        <v>6</v>
      </c>
      <c r="U241">
        <v>8</v>
      </c>
      <c r="V241">
        <v>7</v>
      </c>
      <c r="W241" t="s">
        <v>85</v>
      </c>
      <c r="X241" t="s">
        <v>70</v>
      </c>
      <c r="Y241" t="s">
        <v>37</v>
      </c>
      <c r="Z241">
        <v>36</v>
      </c>
      <c r="AA241" t="s">
        <v>565</v>
      </c>
      <c r="AB241" t="str">
        <f t="shared" si="33"/>
        <v>Other</v>
      </c>
      <c r="AC241" t="s">
        <v>262</v>
      </c>
      <c r="AD241" t="str">
        <f t="shared" si="34"/>
        <v>Associates</v>
      </c>
      <c r="AE241" t="s">
        <v>48</v>
      </c>
      <c r="AF241" t="str">
        <f t="shared" si="35"/>
        <v>Asian or Asian American</v>
      </c>
    </row>
    <row r="242" spans="1:32" x14ac:dyDescent="0.45">
      <c r="A242" t="s">
        <v>782</v>
      </c>
      <c r="B242" t="s">
        <v>25</v>
      </c>
      <c r="C242" s="3">
        <v>44840</v>
      </c>
      <c r="D242" s="3" t="e">
        <f t="shared" si="27"/>
        <v>#VALUE!</v>
      </c>
      <c r="E242" t="s">
        <v>781</v>
      </c>
      <c r="F242" s="4">
        <f t="shared" si="28"/>
        <v>0.57916666666666672</v>
      </c>
      <c r="G242" t="s">
        <v>93</v>
      </c>
      <c r="H242" t="s">
        <v>30</v>
      </c>
      <c r="I242" t="str">
        <f t="shared" si="29"/>
        <v>Data Analyst</v>
      </c>
      <c r="J242" t="s">
        <v>31</v>
      </c>
      <c r="K242" t="s">
        <v>94</v>
      </c>
      <c r="L242">
        <f t="shared" si="30"/>
        <v>75.5</v>
      </c>
      <c r="M242" t="s">
        <v>45</v>
      </c>
      <c r="N242" t="str">
        <f t="shared" si="31"/>
        <v>Finance</v>
      </c>
      <c r="O242" t="s">
        <v>34</v>
      </c>
      <c r="P242" t="str">
        <f t="shared" si="32"/>
        <v>Python</v>
      </c>
      <c r="Q242">
        <v>6</v>
      </c>
      <c r="R242">
        <v>10</v>
      </c>
      <c r="S242">
        <v>9</v>
      </c>
      <c r="T242">
        <v>9</v>
      </c>
      <c r="U242">
        <v>9</v>
      </c>
      <c r="V242">
        <v>10</v>
      </c>
      <c r="W242" t="s">
        <v>69</v>
      </c>
      <c r="X242" t="s">
        <v>70</v>
      </c>
      <c r="Y242" t="s">
        <v>37</v>
      </c>
      <c r="Z242">
        <v>35</v>
      </c>
      <c r="AA242" t="s">
        <v>38</v>
      </c>
      <c r="AB242" t="str">
        <f t="shared" si="33"/>
        <v>United States</v>
      </c>
      <c r="AC242" t="s">
        <v>237</v>
      </c>
      <c r="AD242" t="str">
        <f t="shared" si="34"/>
        <v>Bachelors</v>
      </c>
      <c r="AE242" t="s">
        <v>91</v>
      </c>
      <c r="AF242" t="str">
        <f t="shared" si="35"/>
        <v>Hispanic or Latino</v>
      </c>
    </row>
    <row r="243" spans="1:32" x14ac:dyDescent="0.45">
      <c r="A243" t="s">
        <v>783</v>
      </c>
      <c r="B243" t="s">
        <v>25</v>
      </c>
      <c r="C243" s="3" t="s">
        <v>26</v>
      </c>
      <c r="D243" s="3">
        <f t="shared" si="27"/>
        <v>44840</v>
      </c>
      <c r="E243" t="s">
        <v>784</v>
      </c>
      <c r="F243" s="4">
        <f t="shared" si="28"/>
        <v>0.5805555555555556</v>
      </c>
      <c r="G243" t="s">
        <v>700</v>
      </c>
      <c r="H243" t="s">
        <v>30</v>
      </c>
      <c r="I243" t="str">
        <f t="shared" si="29"/>
        <v>Data Analyst</v>
      </c>
      <c r="J243" t="s">
        <v>31</v>
      </c>
      <c r="K243" t="s">
        <v>94</v>
      </c>
      <c r="L243">
        <f t="shared" si="30"/>
        <v>75.5</v>
      </c>
      <c r="M243" t="s">
        <v>103</v>
      </c>
      <c r="N243" t="str">
        <f t="shared" si="31"/>
        <v>Tech</v>
      </c>
      <c r="O243" t="s">
        <v>34</v>
      </c>
      <c r="P243" t="str">
        <f t="shared" si="32"/>
        <v>Python</v>
      </c>
      <c r="Q243">
        <v>3</v>
      </c>
      <c r="R243">
        <v>4</v>
      </c>
      <c r="S243">
        <v>4</v>
      </c>
      <c r="T243">
        <v>4</v>
      </c>
      <c r="U243">
        <v>5</v>
      </c>
      <c r="V243">
        <v>5</v>
      </c>
      <c r="W243" t="s">
        <v>35</v>
      </c>
      <c r="X243" t="s">
        <v>56</v>
      </c>
      <c r="Y243" t="s">
        <v>37</v>
      </c>
      <c r="Z243">
        <v>29</v>
      </c>
      <c r="AA243" t="s">
        <v>38</v>
      </c>
      <c r="AB243" t="str">
        <f t="shared" si="33"/>
        <v>United States</v>
      </c>
      <c r="AC243" t="s">
        <v>240</v>
      </c>
      <c r="AD243" t="str">
        <f t="shared" si="34"/>
        <v>Masters</v>
      </c>
      <c r="AE243" t="s">
        <v>48</v>
      </c>
      <c r="AF243" t="str">
        <f t="shared" si="35"/>
        <v>Asian or Asian American</v>
      </c>
    </row>
    <row r="244" spans="1:32" x14ac:dyDescent="0.45">
      <c r="A244" t="s">
        <v>785</v>
      </c>
      <c r="B244" t="s">
        <v>25</v>
      </c>
      <c r="C244" s="3" t="s">
        <v>26</v>
      </c>
      <c r="D244" s="3">
        <f t="shared" si="27"/>
        <v>44840</v>
      </c>
      <c r="E244" t="s">
        <v>784</v>
      </c>
      <c r="F244" s="4">
        <f t="shared" si="28"/>
        <v>0.5805555555555556</v>
      </c>
      <c r="G244" t="s">
        <v>786</v>
      </c>
      <c r="H244" t="s">
        <v>30</v>
      </c>
      <c r="I244" t="str">
        <f t="shared" si="29"/>
        <v>Data Analyst</v>
      </c>
      <c r="J244" t="s">
        <v>43</v>
      </c>
      <c r="K244" t="s">
        <v>44</v>
      </c>
      <c r="L244">
        <f t="shared" si="30"/>
        <v>53</v>
      </c>
      <c r="M244" t="s">
        <v>45</v>
      </c>
      <c r="N244" t="str">
        <f t="shared" si="31"/>
        <v>Finance</v>
      </c>
      <c r="O244" t="s">
        <v>34</v>
      </c>
      <c r="P244" t="str">
        <f t="shared" si="32"/>
        <v>Python</v>
      </c>
      <c r="Q244">
        <v>6</v>
      </c>
      <c r="R244">
        <v>5</v>
      </c>
      <c r="S244">
        <v>9</v>
      </c>
      <c r="T244">
        <v>9</v>
      </c>
      <c r="U244">
        <v>7</v>
      </c>
      <c r="V244">
        <v>5</v>
      </c>
      <c r="W244" t="s">
        <v>85</v>
      </c>
      <c r="X244" t="s">
        <v>787</v>
      </c>
      <c r="Y244" t="s">
        <v>65</v>
      </c>
      <c r="Z244">
        <v>25</v>
      </c>
      <c r="AA244" t="s">
        <v>267</v>
      </c>
      <c r="AB244" t="str">
        <f t="shared" si="33"/>
        <v>Other</v>
      </c>
      <c r="AC244" t="s">
        <v>240</v>
      </c>
      <c r="AD244" t="str">
        <f t="shared" si="34"/>
        <v>Masters</v>
      </c>
      <c r="AE244" t="s">
        <v>91</v>
      </c>
      <c r="AF244" t="str">
        <f t="shared" si="35"/>
        <v>Hispanic or Latino</v>
      </c>
    </row>
    <row r="245" spans="1:32" x14ac:dyDescent="0.45">
      <c r="A245" t="s">
        <v>788</v>
      </c>
      <c r="B245" t="s">
        <v>25</v>
      </c>
      <c r="C245" s="3" t="s">
        <v>26</v>
      </c>
      <c r="D245" s="3">
        <f t="shared" si="27"/>
        <v>44840</v>
      </c>
      <c r="E245" t="s">
        <v>784</v>
      </c>
      <c r="F245" s="4">
        <f t="shared" si="28"/>
        <v>0.5805555555555556</v>
      </c>
      <c r="G245" t="s">
        <v>789</v>
      </c>
      <c r="H245" t="s">
        <v>790</v>
      </c>
      <c r="I245" t="str">
        <f t="shared" si="29"/>
        <v>Database Developer</v>
      </c>
      <c r="J245" t="s">
        <v>31</v>
      </c>
      <c r="K245" t="s">
        <v>44</v>
      </c>
      <c r="L245">
        <f t="shared" si="30"/>
        <v>53</v>
      </c>
      <c r="M245" t="s">
        <v>791</v>
      </c>
      <c r="N245" t="str">
        <f t="shared" si="31"/>
        <v>Other</v>
      </c>
      <c r="O245" t="s">
        <v>34</v>
      </c>
      <c r="P245" t="str">
        <f t="shared" si="32"/>
        <v>Python</v>
      </c>
      <c r="Q245">
        <v>6</v>
      </c>
      <c r="R245">
        <v>8</v>
      </c>
      <c r="S245">
        <v>8</v>
      </c>
      <c r="T245">
        <v>9</v>
      </c>
      <c r="U245">
        <v>6</v>
      </c>
      <c r="V245">
        <v>8</v>
      </c>
      <c r="W245" t="s">
        <v>69</v>
      </c>
      <c r="X245" t="s">
        <v>36</v>
      </c>
      <c r="Y245" t="s">
        <v>37</v>
      </c>
      <c r="Z245">
        <v>29</v>
      </c>
      <c r="AA245" t="s">
        <v>38</v>
      </c>
      <c r="AB245" t="str">
        <f t="shared" si="33"/>
        <v>United States</v>
      </c>
      <c r="AC245" t="s">
        <v>237</v>
      </c>
      <c r="AD245" t="str">
        <f t="shared" si="34"/>
        <v>Bachelors</v>
      </c>
      <c r="AE245" t="s">
        <v>39</v>
      </c>
      <c r="AF245" t="str">
        <f t="shared" si="35"/>
        <v>White or Caucasian</v>
      </c>
    </row>
    <row r="246" spans="1:32" x14ac:dyDescent="0.45">
      <c r="A246" t="s">
        <v>792</v>
      </c>
      <c r="B246" t="s">
        <v>25</v>
      </c>
      <c r="C246" s="3" t="s">
        <v>26</v>
      </c>
      <c r="D246" s="3">
        <f t="shared" si="27"/>
        <v>44840</v>
      </c>
      <c r="E246" t="s">
        <v>793</v>
      </c>
      <c r="F246" s="4">
        <f t="shared" si="28"/>
        <v>0.58402777777777781</v>
      </c>
      <c r="G246" t="s">
        <v>265</v>
      </c>
      <c r="H246" t="s">
        <v>30</v>
      </c>
      <c r="I246" t="str">
        <f t="shared" si="29"/>
        <v>Data Analyst</v>
      </c>
      <c r="J246" t="s">
        <v>43</v>
      </c>
      <c r="K246" t="s">
        <v>87</v>
      </c>
      <c r="L246">
        <f t="shared" si="30"/>
        <v>95.5</v>
      </c>
      <c r="M246" t="s">
        <v>794</v>
      </c>
      <c r="N246" t="str">
        <f t="shared" si="31"/>
        <v>Agriculture</v>
      </c>
      <c r="O246" t="s">
        <v>34</v>
      </c>
      <c r="P246" t="str">
        <f t="shared" si="32"/>
        <v>Python</v>
      </c>
      <c r="Q246">
        <v>7</v>
      </c>
      <c r="R246">
        <v>6</v>
      </c>
      <c r="S246">
        <v>7</v>
      </c>
      <c r="T246">
        <v>4</v>
      </c>
      <c r="U246">
        <v>5</v>
      </c>
      <c r="V246">
        <v>8</v>
      </c>
      <c r="W246" t="s">
        <v>69</v>
      </c>
      <c r="X246" t="s">
        <v>56</v>
      </c>
      <c r="Y246" t="s">
        <v>37</v>
      </c>
      <c r="Z246">
        <v>26</v>
      </c>
      <c r="AA246" t="s">
        <v>38</v>
      </c>
      <c r="AB246" t="str">
        <f t="shared" si="33"/>
        <v>United States</v>
      </c>
      <c r="AC246" t="s">
        <v>237</v>
      </c>
      <c r="AD246" t="str">
        <f t="shared" si="34"/>
        <v>Bachelors</v>
      </c>
      <c r="AE246" t="s">
        <v>58</v>
      </c>
      <c r="AF246" t="str">
        <f t="shared" si="35"/>
        <v>Black or African American</v>
      </c>
    </row>
    <row r="247" spans="1:32" x14ac:dyDescent="0.45">
      <c r="A247" t="s">
        <v>795</v>
      </c>
      <c r="B247" t="s">
        <v>25</v>
      </c>
      <c r="C247" s="3" t="s">
        <v>26</v>
      </c>
      <c r="D247" s="3">
        <f t="shared" si="27"/>
        <v>44840</v>
      </c>
      <c r="E247" t="s">
        <v>793</v>
      </c>
      <c r="F247" s="4">
        <f t="shared" si="28"/>
        <v>0.58402777777777781</v>
      </c>
      <c r="G247" t="s">
        <v>371</v>
      </c>
      <c r="H247" t="s">
        <v>30</v>
      </c>
      <c r="I247" t="str">
        <f t="shared" si="29"/>
        <v>Data Analyst</v>
      </c>
      <c r="J247" t="s">
        <v>43</v>
      </c>
      <c r="K247" t="s">
        <v>53</v>
      </c>
      <c r="L247">
        <f t="shared" si="30"/>
        <v>20</v>
      </c>
      <c r="M247" t="s">
        <v>340</v>
      </c>
      <c r="N247" t="str">
        <f t="shared" si="31"/>
        <v>Other</v>
      </c>
      <c r="O247" t="s">
        <v>46</v>
      </c>
      <c r="P247" t="str">
        <f t="shared" si="32"/>
        <v>R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 t="s">
        <v>85</v>
      </c>
      <c r="X247" t="s">
        <v>36</v>
      </c>
      <c r="Y247" t="s">
        <v>37</v>
      </c>
      <c r="Z247">
        <v>34</v>
      </c>
      <c r="AA247" t="s">
        <v>796</v>
      </c>
      <c r="AB247" t="str">
        <f t="shared" si="33"/>
        <v>Other</v>
      </c>
      <c r="AC247" t="s">
        <v>237</v>
      </c>
      <c r="AD247" t="str">
        <f t="shared" si="34"/>
        <v>Bachelors</v>
      </c>
      <c r="AE247" t="s">
        <v>58</v>
      </c>
      <c r="AF247" t="str">
        <f t="shared" si="35"/>
        <v>Black or African American</v>
      </c>
    </row>
    <row r="248" spans="1:32" x14ac:dyDescent="0.45">
      <c r="A248" t="s">
        <v>797</v>
      </c>
      <c r="B248" t="s">
        <v>25</v>
      </c>
      <c r="C248" s="3" t="s">
        <v>26</v>
      </c>
      <c r="D248" s="3">
        <f t="shared" si="27"/>
        <v>44840</v>
      </c>
      <c r="E248" t="s">
        <v>798</v>
      </c>
      <c r="F248" s="4">
        <f t="shared" si="28"/>
        <v>0.58472222222222225</v>
      </c>
      <c r="G248" t="s">
        <v>89</v>
      </c>
      <c r="H248" t="s">
        <v>30</v>
      </c>
      <c r="I248" t="str">
        <f t="shared" si="29"/>
        <v>Data Analyst</v>
      </c>
      <c r="J248" t="s">
        <v>31</v>
      </c>
      <c r="K248" t="s">
        <v>53</v>
      </c>
      <c r="L248">
        <f t="shared" si="30"/>
        <v>20</v>
      </c>
      <c r="M248" t="s">
        <v>45</v>
      </c>
      <c r="N248" t="str">
        <f t="shared" si="31"/>
        <v>Finance</v>
      </c>
      <c r="O248" t="s">
        <v>34</v>
      </c>
      <c r="P248" t="str">
        <f t="shared" si="32"/>
        <v>Python</v>
      </c>
      <c r="Q248">
        <v>5</v>
      </c>
      <c r="R248">
        <v>2</v>
      </c>
      <c r="S248">
        <v>5</v>
      </c>
      <c r="T248">
        <v>4</v>
      </c>
      <c r="U248">
        <v>3</v>
      </c>
      <c r="V248">
        <v>5</v>
      </c>
      <c r="W248" t="s">
        <v>85</v>
      </c>
      <c r="X248" t="s">
        <v>56</v>
      </c>
      <c r="Y248" t="s">
        <v>37</v>
      </c>
      <c r="Z248">
        <v>26</v>
      </c>
      <c r="AA248" t="s">
        <v>444</v>
      </c>
      <c r="AB248" t="str">
        <f t="shared" si="33"/>
        <v>Other</v>
      </c>
      <c r="AC248" t="s">
        <v>237</v>
      </c>
      <c r="AD248" t="str">
        <f t="shared" si="34"/>
        <v>Bachelors</v>
      </c>
      <c r="AE248" t="s">
        <v>39</v>
      </c>
      <c r="AF248" t="str">
        <f t="shared" si="35"/>
        <v>White or Caucasian</v>
      </c>
    </row>
    <row r="249" spans="1:32" x14ac:dyDescent="0.45">
      <c r="A249" t="s">
        <v>799</v>
      </c>
      <c r="B249" t="s">
        <v>25</v>
      </c>
      <c r="C249" s="3" t="s">
        <v>26</v>
      </c>
      <c r="D249" s="3">
        <f t="shared" si="27"/>
        <v>44840</v>
      </c>
      <c r="E249" t="s">
        <v>800</v>
      </c>
      <c r="F249" s="4">
        <f t="shared" si="28"/>
        <v>0.58680555555555558</v>
      </c>
      <c r="G249" t="s">
        <v>801</v>
      </c>
      <c r="H249" t="s">
        <v>30</v>
      </c>
      <c r="I249" t="str">
        <f t="shared" si="29"/>
        <v>Data Analyst</v>
      </c>
      <c r="J249" t="s">
        <v>43</v>
      </c>
      <c r="K249" t="s">
        <v>53</v>
      </c>
      <c r="L249">
        <f t="shared" si="30"/>
        <v>20</v>
      </c>
      <c r="M249" t="s">
        <v>103</v>
      </c>
      <c r="N249" t="str">
        <f t="shared" si="31"/>
        <v>Tech</v>
      </c>
      <c r="O249" t="s">
        <v>34</v>
      </c>
      <c r="P249" t="str">
        <f t="shared" si="32"/>
        <v>Python</v>
      </c>
      <c r="Q249">
        <v>3</v>
      </c>
      <c r="R249">
        <v>3</v>
      </c>
      <c r="S249">
        <v>5</v>
      </c>
      <c r="T249">
        <v>4</v>
      </c>
      <c r="U249">
        <v>3</v>
      </c>
      <c r="V249">
        <v>2</v>
      </c>
      <c r="W249" t="s">
        <v>69</v>
      </c>
      <c r="X249" t="s">
        <v>802</v>
      </c>
      <c r="Y249" t="s">
        <v>65</v>
      </c>
      <c r="Z249">
        <v>22</v>
      </c>
      <c r="AA249" t="s">
        <v>147</v>
      </c>
      <c r="AB249" t="str">
        <f t="shared" si="33"/>
        <v>India</v>
      </c>
      <c r="AC249" t="s">
        <v>237</v>
      </c>
      <c r="AD249" t="str">
        <f t="shared" si="34"/>
        <v>Bachelors</v>
      </c>
      <c r="AE249" t="s">
        <v>48</v>
      </c>
      <c r="AF249" t="str">
        <f t="shared" si="35"/>
        <v>Asian or Asian American</v>
      </c>
    </row>
    <row r="250" spans="1:32" x14ac:dyDescent="0.45">
      <c r="A250" t="s">
        <v>803</v>
      </c>
      <c r="B250" t="s">
        <v>25</v>
      </c>
      <c r="C250" s="3" t="s">
        <v>26</v>
      </c>
      <c r="D250" s="3">
        <f t="shared" si="27"/>
        <v>44840</v>
      </c>
      <c r="E250" t="s">
        <v>804</v>
      </c>
      <c r="F250" s="4">
        <f t="shared" si="28"/>
        <v>0.58958333333333335</v>
      </c>
      <c r="G250" t="s">
        <v>682</v>
      </c>
      <c r="H250" t="s">
        <v>123</v>
      </c>
      <c r="I250" t="str">
        <f t="shared" si="29"/>
        <v>None</v>
      </c>
      <c r="J250" t="s">
        <v>31</v>
      </c>
      <c r="K250" t="s">
        <v>53</v>
      </c>
      <c r="L250">
        <f t="shared" si="30"/>
        <v>20</v>
      </c>
      <c r="M250" t="s">
        <v>113</v>
      </c>
      <c r="N250" t="str">
        <f t="shared" si="31"/>
        <v>Construction</v>
      </c>
      <c r="O250" t="s">
        <v>34</v>
      </c>
      <c r="P250" t="str">
        <f t="shared" si="32"/>
        <v>Python</v>
      </c>
      <c r="Q250">
        <v>0</v>
      </c>
      <c r="R250">
        <v>2</v>
      </c>
      <c r="S250">
        <v>0</v>
      </c>
      <c r="T250">
        <v>1</v>
      </c>
      <c r="U250">
        <v>1</v>
      </c>
      <c r="V250">
        <v>2</v>
      </c>
      <c r="W250" t="s">
        <v>35</v>
      </c>
      <c r="X250" t="s">
        <v>36</v>
      </c>
      <c r="Y250" t="s">
        <v>65</v>
      </c>
      <c r="Z250">
        <v>24</v>
      </c>
      <c r="AA250" t="s">
        <v>132</v>
      </c>
      <c r="AB250" t="str">
        <f t="shared" si="33"/>
        <v>Other</v>
      </c>
      <c r="AC250" t="s">
        <v>237</v>
      </c>
      <c r="AD250" t="str">
        <f t="shared" si="34"/>
        <v>Bachelors</v>
      </c>
      <c r="AE250" t="s">
        <v>58</v>
      </c>
      <c r="AF250" t="str">
        <f t="shared" si="35"/>
        <v>Black or African American</v>
      </c>
    </row>
    <row r="251" spans="1:32" x14ac:dyDescent="0.45">
      <c r="A251" t="s">
        <v>805</v>
      </c>
      <c r="B251" t="s">
        <v>25</v>
      </c>
      <c r="C251" s="3" t="s">
        <v>26</v>
      </c>
      <c r="D251" s="3">
        <f t="shared" si="27"/>
        <v>44840</v>
      </c>
      <c r="E251" t="s">
        <v>806</v>
      </c>
      <c r="F251" s="4">
        <f t="shared" si="28"/>
        <v>0.59166666666666667</v>
      </c>
      <c r="G251" t="s">
        <v>339</v>
      </c>
      <c r="H251" t="s">
        <v>30</v>
      </c>
      <c r="I251" t="str">
        <f t="shared" si="29"/>
        <v>Data Analyst</v>
      </c>
      <c r="J251" t="s">
        <v>43</v>
      </c>
      <c r="K251" t="s">
        <v>53</v>
      </c>
      <c r="L251">
        <f t="shared" si="30"/>
        <v>20</v>
      </c>
      <c r="M251" t="s">
        <v>807</v>
      </c>
      <c r="N251" t="str">
        <f t="shared" si="31"/>
        <v>Other</v>
      </c>
      <c r="O251" t="s">
        <v>34</v>
      </c>
      <c r="P251" t="str">
        <f t="shared" si="32"/>
        <v>Python</v>
      </c>
      <c r="Q251">
        <v>3</v>
      </c>
      <c r="R251">
        <v>6</v>
      </c>
      <c r="S251">
        <v>6</v>
      </c>
      <c r="T251">
        <v>6</v>
      </c>
      <c r="U251">
        <v>4</v>
      </c>
      <c r="V251">
        <v>3</v>
      </c>
      <c r="W251" t="s">
        <v>85</v>
      </c>
      <c r="X251" t="s">
        <v>70</v>
      </c>
      <c r="Y251" t="s">
        <v>37</v>
      </c>
      <c r="Z251">
        <v>26</v>
      </c>
      <c r="AA251" t="s">
        <v>403</v>
      </c>
      <c r="AB251" t="str">
        <f t="shared" si="33"/>
        <v>Other</v>
      </c>
      <c r="AC251" t="s">
        <v>237</v>
      </c>
      <c r="AD251" t="str">
        <f t="shared" si="34"/>
        <v>Bachelors</v>
      </c>
      <c r="AE251" t="s">
        <v>91</v>
      </c>
      <c r="AF251" t="str">
        <f t="shared" si="35"/>
        <v>Hispanic or Latino</v>
      </c>
    </row>
    <row r="252" spans="1:32" x14ac:dyDescent="0.45">
      <c r="A252" t="s">
        <v>808</v>
      </c>
      <c r="B252" t="s">
        <v>25</v>
      </c>
      <c r="C252" s="3" t="s">
        <v>26</v>
      </c>
      <c r="D252" s="3">
        <f t="shared" si="27"/>
        <v>44840</v>
      </c>
      <c r="E252" t="s">
        <v>806</v>
      </c>
      <c r="F252" s="4">
        <f t="shared" si="28"/>
        <v>0.59166666666666667</v>
      </c>
      <c r="G252" t="s">
        <v>809</v>
      </c>
      <c r="H252" t="s">
        <v>724</v>
      </c>
      <c r="I252" t="str">
        <f t="shared" si="29"/>
        <v>Data Architect</v>
      </c>
      <c r="J252" t="s">
        <v>31</v>
      </c>
      <c r="K252" t="s">
        <v>53</v>
      </c>
      <c r="L252">
        <f t="shared" si="30"/>
        <v>20</v>
      </c>
      <c r="M252" t="s">
        <v>45</v>
      </c>
      <c r="N252" t="str">
        <f t="shared" si="31"/>
        <v>Finance</v>
      </c>
      <c r="O252" t="s">
        <v>34</v>
      </c>
      <c r="P252" t="str">
        <f t="shared" si="32"/>
        <v>Python</v>
      </c>
      <c r="Q252">
        <v>5</v>
      </c>
      <c r="R252">
        <v>6</v>
      </c>
      <c r="S252">
        <v>2</v>
      </c>
      <c r="T252">
        <v>3</v>
      </c>
      <c r="U252">
        <v>3</v>
      </c>
      <c r="V252">
        <v>5</v>
      </c>
      <c r="W252" t="s">
        <v>35</v>
      </c>
      <c r="X252" t="s">
        <v>56</v>
      </c>
      <c r="Y252" t="s">
        <v>65</v>
      </c>
      <c r="Z252">
        <v>34</v>
      </c>
      <c r="AA252" t="s">
        <v>810</v>
      </c>
      <c r="AB252" t="str">
        <f t="shared" si="33"/>
        <v>Other</v>
      </c>
      <c r="AC252" t="s">
        <v>240</v>
      </c>
      <c r="AD252" t="str">
        <f t="shared" si="34"/>
        <v>Masters</v>
      </c>
      <c r="AE252" t="s">
        <v>39</v>
      </c>
      <c r="AF252" t="str">
        <f t="shared" si="35"/>
        <v>White or Caucasian</v>
      </c>
    </row>
    <row r="253" spans="1:32" x14ac:dyDescent="0.45">
      <c r="A253" t="s">
        <v>811</v>
      </c>
      <c r="B253" t="s">
        <v>25</v>
      </c>
      <c r="C253" s="3" t="s">
        <v>26</v>
      </c>
      <c r="D253" s="3">
        <f t="shared" si="27"/>
        <v>44840</v>
      </c>
      <c r="E253" t="s">
        <v>812</v>
      </c>
      <c r="F253" s="4">
        <f t="shared" si="28"/>
        <v>0.59236111111111112</v>
      </c>
      <c r="G253" t="s">
        <v>813</v>
      </c>
      <c r="H253" t="s">
        <v>30</v>
      </c>
      <c r="I253" t="str">
        <f t="shared" si="29"/>
        <v>Data Analyst</v>
      </c>
      <c r="J253" t="s">
        <v>43</v>
      </c>
      <c r="K253" t="s">
        <v>53</v>
      </c>
      <c r="L253">
        <f t="shared" si="30"/>
        <v>20</v>
      </c>
      <c r="M253" t="s">
        <v>103</v>
      </c>
      <c r="N253" t="str">
        <f t="shared" si="31"/>
        <v>Tech</v>
      </c>
      <c r="O253" t="s">
        <v>34</v>
      </c>
      <c r="P253" t="str">
        <f t="shared" si="32"/>
        <v>Python</v>
      </c>
      <c r="Q253">
        <v>3</v>
      </c>
      <c r="R253">
        <v>5</v>
      </c>
      <c r="S253">
        <v>4</v>
      </c>
      <c r="T253">
        <v>5</v>
      </c>
      <c r="U253">
        <v>4</v>
      </c>
      <c r="V253">
        <v>2</v>
      </c>
      <c r="W253" t="s">
        <v>85</v>
      </c>
      <c r="X253" t="s">
        <v>70</v>
      </c>
      <c r="Y253" t="s">
        <v>37</v>
      </c>
      <c r="Z253">
        <v>29</v>
      </c>
      <c r="AA253" t="s">
        <v>147</v>
      </c>
      <c r="AB253" t="str">
        <f t="shared" si="33"/>
        <v>India</v>
      </c>
      <c r="AC253" t="s">
        <v>237</v>
      </c>
      <c r="AD253" t="str">
        <f t="shared" si="34"/>
        <v>Bachelors</v>
      </c>
      <c r="AE253" t="s">
        <v>48</v>
      </c>
      <c r="AF253" t="str">
        <f t="shared" si="35"/>
        <v>Asian or Asian American</v>
      </c>
    </row>
    <row r="254" spans="1:32" x14ac:dyDescent="0.45">
      <c r="A254" t="s">
        <v>814</v>
      </c>
      <c r="B254" t="s">
        <v>25</v>
      </c>
      <c r="C254" s="3" t="s">
        <v>26</v>
      </c>
      <c r="D254" s="3">
        <f t="shared" si="27"/>
        <v>44840</v>
      </c>
      <c r="E254" t="s">
        <v>815</v>
      </c>
      <c r="F254" s="4">
        <f t="shared" si="28"/>
        <v>0.59305555555555556</v>
      </c>
      <c r="G254" t="s">
        <v>89</v>
      </c>
      <c r="H254" t="s">
        <v>77</v>
      </c>
      <c r="I254" t="str">
        <f t="shared" si="29"/>
        <v>Data Scientist</v>
      </c>
      <c r="J254" t="s">
        <v>43</v>
      </c>
      <c r="K254" t="s">
        <v>53</v>
      </c>
      <c r="L254">
        <f t="shared" si="30"/>
        <v>20</v>
      </c>
      <c r="M254" t="s">
        <v>103</v>
      </c>
      <c r="N254" t="str">
        <f t="shared" si="31"/>
        <v>Tech</v>
      </c>
      <c r="O254" t="s">
        <v>46</v>
      </c>
      <c r="P254" t="str">
        <f t="shared" si="32"/>
        <v>R</v>
      </c>
      <c r="Q254">
        <v>2</v>
      </c>
      <c r="R254">
        <v>7</v>
      </c>
      <c r="S254">
        <v>7</v>
      </c>
      <c r="T254">
        <v>7</v>
      </c>
      <c r="U254">
        <v>7</v>
      </c>
      <c r="V254">
        <v>7</v>
      </c>
      <c r="W254" t="s">
        <v>55</v>
      </c>
      <c r="X254" t="s">
        <v>70</v>
      </c>
      <c r="Y254" t="s">
        <v>37</v>
      </c>
      <c r="Z254">
        <v>21</v>
      </c>
      <c r="AA254" t="s">
        <v>57</v>
      </c>
      <c r="AB254" t="str">
        <f t="shared" si="33"/>
        <v>Other</v>
      </c>
      <c r="AC254" t="s">
        <v>237</v>
      </c>
      <c r="AD254" t="str">
        <f t="shared" si="34"/>
        <v>Bachelors</v>
      </c>
      <c r="AE254" t="s">
        <v>58</v>
      </c>
      <c r="AF254" t="str">
        <f t="shared" si="35"/>
        <v>Black or African American</v>
      </c>
    </row>
    <row r="255" spans="1:32" x14ac:dyDescent="0.45">
      <c r="A255" t="s">
        <v>816</v>
      </c>
      <c r="B255" t="s">
        <v>25</v>
      </c>
      <c r="C255" s="3" t="s">
        <v>26</v>
      </c>
      <c r="D255" s="3">
        <f t="shared" si="27"/>
        <v>44840</v>
      </c>
      <c r="E255" t="s">
        <v>815</v>
      </c>
      <c r="F255" s="4">
        <f t="shared" si="28"/>
        <v>0.59305555555555556</v>
      </c>
      <c r="G255" t="s">
        <v>224</v>
      </c>
      <c r="H255" t="s">
        <v>817</v>
      </c>
      <c r="I255" t="str">
        <f t="shared" si="29"/>
        <v>Other</v>
      </c>
      <c r="J255" t="s">
        <v>43</v>
      </c>
      <c r="K255" t="s">
        <v>53</v>
      </c>
      <c r="L255">
        <f t="shared" si="30"/>
        <v>20</v>
      </c>
      <c r="M255" t="s">
        <v>818</v>
      </c>
      <c r="N255" t="str">
        <f t="shared" si="31"/>
        <v>Other</v>
      </c>
      <c r="O255" t="s">
        <v>34</v>
      </c>
      <c r="P255" t="str">
        <f t="shared" si="32"/>
        <v>Python</v>
      </c>
      <c r="Q255">
        <v>2</v>
      </c>
      <c r="R255">
        <v>4</v>
      </c>
      <c r="S255">
        <v>5</v>
      </c>
      <c r="T255">
        <v>3</v>
      </c>
      <c r="U255">
        <v>1</v>
      </c>
      <c r="V255">
        <v>1</v>
      </c>
      <c r="W255" t="s">
        <v>85</v>
      </c>
      <c r="X255" t="s">
        <v>56</v>
      </c>
      <c r="Y255" t="s">
        <v>65</v>
      </c>
      <c r="Z255">
        <v>35</v>
      </c>
      <c r="AA255" t="s">
        <v>819</v>
      </c>
      <c r="AB255" t="str">
        <f t="shared" si="33"/>
        <v>Other</v>
      </c>
      <c r="AC255" t="s">
        <v>240</v>
      </c>
      <c r="AD255" t="str">
        <f t="shared" si="34"/>
        <v>Masters</v>
      </c>
      <c r="AE255" t="s">
        <v>39</v>
      </c>
      <c r="AF255" t="str">
        <f t="shared" si="35"/>
        <v>White or Caucasian</v>
      </c>
    </row>
    <row r="256" spans="1:32" x14ac:dyDescent="0.45">
      <c r="A256" t="s">
        <v>820</v>
      </c>
      <c r="B256" t="s">
        <v>25</v>
      </c>
      <c r="C256" s="3" t="s">
        <v>26</v>
      </c>
      <c r="D256" s="3">
        <f t="shared" si="27"/>
        <v>44840</v>
      </c>
      <c r="E256" t="s">
        <v>821</v>
      </c>
      <c r="F256" s="4">
        <f t="shared" si="28"/>
        <v>0.59375</v>
      </c>
      <c r="G256" t="s">
        <v>822</v>
      </c>
      <c r="H256" t="s">
        <v>30</v>
      </c>
      <c r="I256" t="str">
        <f t="shared" si="29"/>
        <v>Data Analyst</v>
      </c>
      <c r="J256" t="s">
        <v>43</v>
      </c>
      <c r="K256" t="s">
        <v>44</v>
      </c>
      <c r="L256">
        <f t="shared" si="30"/>
        <v>53</v>
      </c>
      <c r="M256" t="s">
        <v>108</v>
      </c>
      <c r="N256" t="str">
        <f t="shared" si="31"/>
        <v>Education</v>
      </c>
      <c r="O256" t="s">
        <v>34</v>
      </c>
      <c r="P256" t="str">
        <f t="shared" si="32"/>
        <v>Python</v>
      </c>
      <c r="Q256">
        <v>7</v>
      </c>
      <c r="R256">
        <v>7</v>
      </c>
      <c r="S256">
        <v>8</v>
      </c>
      <c r="T256">
        <v>8</v>
      </c>
      <c r="U256">
        <v>6</v>
      </c>
      <c r="V256">
        <v>7</v>
      </c>
      <c r="W256" t="s">
        <v>85</v>
      </c>
      <c r="X256" t="s">
        <v>56</v>
      </c>
      <c r="Y256" t="s">
        <v>37</v>
      </c>
      <c r="Z256">
        <v>26</v>
      </c>
      <c r="AA256" t="s">
        <v>38</v>
      </c>
      <c r="AB256" t="str">
        <f t="shared" si="33"/>
        <v>United States</v>
      </c>
      <c r="AC256" t="s">
        <v>237</v>
      </c>
      <c r="AD256" t="str">
        <f t="shared" si="34"/>
        <v>Bachelors</v>
      </c>
      <c r="AE256" t="s">
        <v>58</v>
      </c>
      <c r="AF256" t="str">
        <f t="shared" si="35"/>
        <v>Black or African American</v>
      </c>
    </row>
    <row r="257" spans="1:32" x14ac:dyDescent="0.45">
      <c r="A257" t="s">
        <v>823</v>
      </c>
      <c r="B257" t="s">
        <v>25</v>
      </c>
      <c r="C257" s="3" t="s">
        <v>26</v>
      </c>
      <c r="D257" s="3">
        <f t="shared" si="27"/>
        <v>44840</v>
      </c>
      <c r="E257" t="s">
        <v>824</v>
      </c>
      <c r="F257" s="4">
        <f t="shared" si="28"/>
        <v>0.59444444444444444</v>
      </c>
      <c r="G257" t="s">
        <v>825</v>
      </c>
      <c r="H257" t="s">
        <v>30</v>
      </c>
      <c r="I257" t="str">
        <f t="shared" si="29"/>
        <v>Data Analyst</v>
      </c>
      <c r="J257" t="s">
        <v>31</v>
      </c>
      <c r="K257" t="s">
        <v>44</v>
      </c>
      <c r="L257">
        <f t="shared" si="30"/>
        <v>53</v>
      </c>
      <c r="M257" t="s">
        <v>826</v>
      </c>
      <c r="N257" t="str">
        <f t="shared" si="31"/>
        <v>Other</v>
      </c>
      <c r="O257" t="s">
        <v>34</v>
      </c>
      <c r="P257" t="str">
        <f t="shared" si="32"/>
        <v>Python</v>
      </c>
      <c r="Q257">
        <v>2</v>
      </c>
      <c r="R257">
        <v>4</v>
      </c>
      <c r="S257">
        <v>7</v>
      </c>
      <c r="T257">
        <v>10</v>
      </c>
      <c r="U257">
        <v>5</v>
      </c>
      <c r="V257">
        <v>10</v>
      </c>
      <c r="W257" t="s">
        <v>85</v>
      </c>
      <c r="X257" t="s">
        <v>36</v>
      </c>
      <c r="Y257" t="s">
        <v>37</v>
      </c>
      <c r="Z257">
        <v>28</v>
      </c>
      <c r="AA257" t="s">
        <v>38</v>
      </c>
      <c r="AB257" t="str">
        <f t="shared" si="33"/>
        <v>United States</v>
      </c>
      <c r="AC257" t="s">
        <v>237</v>
      </c>
      <c r="AD257" t="str">
        <f t="shared" si="34"/>
        <v>Bachelors</v>
      </c>
      <c r="AE257" t="s">
        <v>39</v>
      </c>
      <c r="AF257" t="str">
        <f t="shared" si="35"/>
        <v>White or Caucasian</v>
      </c>
    </row>
    <row r="258" spans="1:32" x14ac:dyDescent="0.45">
      <c r="A258" t="s">
        <v>827</v>
      </c>
      <c r="B258" t="s">
        <v>25</v>
      </c>
      <c r="C258" s="3" t="s">
        <v>26</v>
      </c>
      <c r="D258" s="3">
        <f t="shared" si="27"/>
        <v>44840</v>
      </c>
      <c r="E258" t="s">
        <v>828</v>
      </c>
      <c r="F258" s="4">
        <f t="shared" si="28"/>
        <v>0.59930555555555554</v>
      </c>
      <c r="G258" t="s">
        <v>371</v>
      </c>
      <c r="H258" t="s">
        <v>829</v>
      </c>
      <c r="I258" t="str">
        <f t="shared" si="29"/>
        <v>Other</v>
      </c>
      <c r="J258" t="s">
        <v>43</v>
      </c>
      <c r="K258" t="s">
        <v>44</v>
      </c>
      <c r="L258">
        <f t="shared" si="30"/>
        <v>53</v>
      </c>
      <c r="M258" t="s">
        <v>830</v>
      </c>
      <c r="N258" t="str">
        <f t="shared" si="31"/>
        <v>Other</v>
      </c>
      <c r="O258" t="s">
        <v>34</v>
      </c>
      <c r="P258" t="str">
        <f t="shared" si="32"/>
        <v>Python</v>
      </c>
      <c r="Q258">
        <v>1</v>
      </c>
      <c r="R258">
        <v>5</v>
      </c>
      <c r="S258">
        <v>5</v>
      </c>
      <c r="T258">
        <v>1</v>
      </c>
      <c r="U258">
        <v>0</v>
      </c>
      <c r="V258">
        <v>3</v>
      </c>
      <c r="W258" t="s">
        <v>55</v>
      </c>
      <c r="X258" t="s">
        <v>70</v>
      </c>
      <c r="Y258" t="s">
        <v>65</v>
      </c>
      <c r="Z258">
        <v>33</v>
      </c>
      <c r="AA258" t="s">
        <v>38</v>
      </c>
      <c r="AB258" t="str">
        <f t="shared" si="33"/>
        <v>United States</v>
      </c>
      <c r="AC258" t="s">
        <v>237</v>
      </c>
      <c r="AD258" t="str">
        <f t="shared" si="34"/>
        <v>Bachelors</v>
      </c>
      <c r="AE258" t="s">
        <v>39</v>
      </c>
      <c r="AF258" t="str">
        <f t="shared" si="35"/>
        <v>White or Caucasian</v>
      </c>
    </row>
    <row r="259" spans="1:32" x14ac:dyDescent="0.45">
      <c r="A259" t="s">
        <v>831</v>
      </c>
      <c r="B259" t="s">
        <v>25</v>
      </c>
      <c r="C259" s="3" t="s">
        <v>26</v>
      </c>
      <c r="D259" s="3">
        <f t="shared" ref="D259:D322" si="36">DATEVALUE(C259)</f>
        <v>44840</v>
      </c>
      <c r="E259" t="s">
        <v>832</v>
      </c>
      <c r="F259" s="4">
        <f t="shared" ref="F259:F322" si="37">TIMEVALUE(E259)</f>
        <v>0.60069444444444442</v>
      </c>
      <c r="G259" t="s">
        <v>229</v>
      </c>
      <c r="H259" t="s">
        <v>30</v>
      </c>
      <c r="I259" t="str">
        <f t="shared" ref="I259:I322" si="38">IF(LEFT(H259,5)="Other","Other",IF(ISNUMBER(SEARCH("None",H259)),"None",H259))</f>
        <v>Data Analyst</v>
      </c>
      <c r="J259" t="s">
        <v>31</v>
      </c>
      <c r="K259" t="s">
        <v>94</v>
      </c>
      <c r="L259">
        <f t="shared" ref="L259:L322" si="39">(VALUE(SUBSTITUTE(LEFT(K259,FIND("-",K259)-1),"k","")) + VALUE(SUBSTITUTE(MID(K259,FIND("-",K259)+1,LEN(K259)),"k","")))/2</f>
        <v>75.5</v>
      </c>
      <c r="M259" t="s">
        <v>393</v>
      </c>
      <c r="N259" t="str">
        <f t="shared" ref="N259:N322" si="40">IF(LEFT(M259,5)="Other","Other",IF(ISNUMBER(SEARCH("None",M259)),"None",M259))</f>
        <v>Other</v>
      </c>
      <c r="O259" t="s">
        <v>833</v>
      </c>
      <c r="P259" t="str">
        <f t="shared" ref="P259:P322" si="41">IF(LEFT(O259,5)="Other","Other",IF(ISNUMBER(SEARCH("None",O259)),"None",O259))</f>
        <v>Other</v>
      </c>
      <c r="Q259">
        <v>7</v>
      </c>
      <c r="R259">
        <v>6</v>
      </c>
      <c r="S259">
        <v>5</v>
      </c>
      <c r="T259">
        <v>7</v>
      </c>
      <c r="U259">
        <v>4</v>
      </c>
      <c r="V259">
        <v>4</v>
      </c>
      <c r="W259" t="s">
        <v>55</v>
      </c>
      <c r="X259" t="s">
        <v>70</v>
      </c>
      <c r="Y259" t="s">
        <v>65</v>
      </c>
      <c r="Z259">
        <v>56</v>
      </c>
      <c r="AA259" t="s">
        <v>38</v>
      </c>
      <c r="AB259" t="str">
        <f t="shared" ref="AB259:AB322" si="42">IF(LEFT(AA259,5)="Other","Other",IF(ISNUMBER(SEARCH("None",AA259)),"None",AA259))</f>
        <v>United States</v>
      </c>
      <c r="AC259" t="s">
        <v>237</v>
      </c>
      <c r="AD259" t="str">
        <f t="shared" ref="AD259:AD322" si="43">IF(AC259="","none",AC259)</f>
        <v>Bachelors</v>
      </c>
      <c r="AE259" t="s">
        <v>39</v>
      </c>
      <c r="AF259" t="str">
        <f t="shared" ref="AF259:AF322" si="44">IF(LEFT(AE259,5)="Other","Other",IF(ISNUMBER(SEARCH("None",AE259)),"None",AE259))</f>
        <v>White or Caucasian</v>
      </c>
    </row>
    <row r="260" spans="1:32" x14ac:dyDescent="0.45">
      <c r="A260" t="s">
        <v>834</v>
      </c>
      <c r="B260" t="s">
        <v>25</v>
      </c>
      <c r="C260" s="3" t="s">
        <v>26</v>
      </c>
      <c r="D260" s="3">
        <f t="shared" si="36"/>
        <v>44840</v>
      </c>
      <c r="E260" t="s">
        <v>835</v>
      </c>
      <c r="F260" s="4">
        <f t="shared" si="37"/>
        <v>0.60486111111111107</v>
      </c>
      <c r="G260" t="s">
        <v>836</v>
      </c>
      <c r="H260" t="s">
        <v>837</v>
      </c>
      <c r="I260" t="str">
        <f t="shared" si="38"/>
        <v>Other</v>
      </c>
      <c r="J260" t="s">
        <v>43</v>
      </c>
      <c r="K260" t="s">
        <v>53</v>
      </c>
      <c r="L260">
        <f t="shared" si="39"/>
        <v>20</v>
      </c>
      <c r="M260" t="s">
        <v>838</v>
      </c>
      <c r="N260" t="str">
        <f t="shared" si="40"/>
        <v>Other</v>
      </c>
      <c r="O260" t="s">
        <v>34</v>
      </c>
      <c r="P260" t="str">
        <f t="shared" si="41"/>
        <v>Python</v>
      </c>
      <c r="Q260">
        <v>3</v>
      </c>
      <c r="R260">
        <v>3</v>
      </c>
      <c r="S260">
        <v>6</v>
      </c>
      <c r="T260">
        <v>5</v>
      </c>
      <c r="U260" t="s">
        <v>28</v>
      </c>
      <c r="V260">
        <v>4</v>
      </c>
      <c r="W260" t="s">
        <v>69</v>
      </c>
      <c r="X260" t="s">
        <v>56</v>
      </c>
      <c r="Y260" t="s">
        <v>37</v>
      </c>
      <c r="Z260">
        <v>23</v>
      </c>
      <c r="AA260" t="s">
        <v>147</v>
      </c>
      <c r="AB260" t="str">
        <f t="shared" si="42"/>
        <v>India</v>
      </c>
      <c r="AC260" t="s">
        <v>237</v>
      </c>
      <c r="AD260" t="str">
        <f t="shared" si="43"/>
        <v>Bachelors</v>
      </c>
      <c r="AE260" t="s">
        <v>48</v>
      </c>
      <c r="AF260" t="str">
        <f t="shared" si="44"/>
        <v>Asian or Asian American</v>
      </c>
    </row>
    <row r="261" spans="1:32" x14ac:dyDescent="0.45">
      <c r="A261" t="s">
        <v>839</v>
      </c>
      <c r="B261" t="s">
        <v>25</v>
      </c>
      <c r="C261" s="3" t="s">
        <v>26</v>
      </c>
      <c r="D261" s="3">
        <f t="shared" si="36"/>
        <v>44840</v>
      </c>
      <c r="E261" t="s">
        <v>840</v>
      </c>
      <c r="F261" s="4">
        <f t="shared" si="37"/>
        <v>0.6118055555555556</v>
      </c>
      <c r="G261" t="s">
        <v>490</v>
      </c>
      <c r="H261" t="s">
        <v>77</v>
      </c>
      <c r="I261" t="str">
        <f t="shared" si="38"/>
        <v>Data Scientist</v>
      </c>
      <c r="J261" t="s">
        <v>31</v>
      </c>
      <c r="K261" t="s">
        <v>82</v>
      </c>
      <c r="L261">
        <f t="shared" si="39"/>
        <v>137.5</v>
      </c>
      <c r="M261" t="s">
        <v>33</v>
      </c>
      <c r="N261" t="str">
        <f t="shared" si="40"/>
        <v>Healthcare</v>
      </c>
      <c r="O261" t="s">
        <v>34</v>
      </c>
      <c r="P261" t="str">
        <f t="shared" si="41"/>
        <v>Python</v>
      </c>
      <c r="Q261">
        <v>4</v>
      </c>
      <c r="R261">
        <v>5</v>
      </c>
      <c r="S261">
        <v>5</v>
      </c>
      <c r="T261">
        <v>5</v>
      </c>
      <c r="U261">
        <v>4</v>
      </c>
      <c r="V261">
        <v>5</v>
      </c>
      <c r="W261" t="s">
        <v>69</v>
      </c>
      <c r="X261" t="s">
        <v>70</v>
      </c>
      <c r="Y261" t="s">
        <v>37</v>
      </c>
      <c r="Z261">
        <v>28</v>
      </c>
      <c r="AA261" t="s">
        <v>38</v>
      </c>
      <c r="AB261" t="str">
        <f t="shared" si="42"/>
        <v>United States</v>
      </c>
      <c r="AC261" t="s">
        <v>240</v>
      </c>
      <c r="AD261" t="str">
        <f t="shared" si="43"/>
        <v>Masters</v>
      </c>
      <c r="AE261" t="s">
        <v>39</v>
      </c>
      <c r="AF261" t="str">
        <f t="shared" si="44"/>
        <v>White or Caucasian</v>
      </c>
    </row>
    <row r="262" spans="1:32" x14ac:dyDescent="0.45">
      <c r="A262" t="s">
        <v>841</v>
      </c>
      <c r="B262" t="s">
        <v>25</v>
      </c>
      <c r="C262" s="3" t="s">
        <v>26</v>
      </c>
      <c r="D262" s="3">
        <f t="shared" si="36"/>
        <v>44840</v>
      </c>
      <c r="E262" t="s">
        <v>842</v>
      </c>
      <c r="F262" s="4">
        <f t="shared" si="37"/>
        <v>0.61250000000000004</v>
      </c>
      <c r="G262" t="s">
        <v>250</v>
      </c>
      <c r="H262" t="s">
        <v>123</v>
      </c>
      <c r="I262" t="str">
        <f t="shared" si="38"/>
        <v>None</v>
      </c>
      <c r="J262" t="s">
        <v>43</v>
      </c>
      <c r="K262" t="s">
        <v>53</v>
      </c>
      <c r="L262">
        <f t="shared" si="39"/>
        <v>20</v>
      </c>
      <c r="M262" t="s">
        <v>843</v>
      </c>
      <c r="N262" t="str">
        <f t="shared" si="40"/>
        <v>Other</v>
      </c>
      <c r="O262" t="s">
        <v>204</v>
      </c>
      <c r="P262" t="str">
        <f t="shared" si="41"/>
        <v>JavaScript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</v>
      </c>
      <c r="W262" t="s">
        <v>85</v>
      </c>
      <c r="X262" t="s">
        <v>36</v>
      </c>
      <c r="Y262" t="s">
        <v>37</v>
      </c>
      <c r="Z262">
        <v>21</v>
      </c>
      <c r="AA262" t="s">
        <v>444</v>
      </c>
      <c r="AB262" t="str">
        <f t="shared" si="42"/>
        <v>Other</v>
      </c>
      <c r="AC262" t="s">
        <v>227</v>
      </c>
      <c r="AD262" t="str">
        <f t="shared" si="43"/>
        <v>High School</v>
      </c>
      <c r="AE262" t="s">
        <v>39</v>
      </c>
      <c r="AF262" t="str">
        <f t="shared" si="44"/>
        <v>White or Caucasian</v>
      </c>
    </row>
    <row r="263" spans="1:32" x14ac:dyDescent="0.45">
      <c r="A263" t="s">
        <v>844</v>
      </c>
      <c r="B263" t="s">
        <v>25</v>
      </c>
      <c r="C263" s="3" t="s">
        <v>26</v>
      </c>
      <c r="D263" s="3">
        <f t="shared" si="36"/>
        <v>44840</v>
      </c>
      <c r="E263" t="s">
        <v>845</v>
      </c>
      <c r="F263" s="4">
        <f t="shared" si="37"/>
        <v>0.61319444444444449</v>
      </c>
      <c r="G263" t="s">
        <v>143</v>
      </c>
      <c r="H263" t="s">
        <v>123</v>
      </c>
      <c r="I263" t="str">
        <f t="shared" si="38"/>
        <v>None</v>
      </c>
      <c r="J263" t="s">
        <v>43</v>
      </c>
      <c r="K263" t="s">
        <v>94</v>
      </c>
      <c r="L263">
        <f t="shared" si="39"/>
        <v>75.5</v>
      </c>
      <c r="M263" t="s">
        <v>846</v>
      </c>
      <c r="N263" t="str">
        <f t="shared" si="40"/>
        <v>Other</v>
      </c>
      <c r="O263" t="s">
        <v>34</v>
      </c>
      <c r="P263" t="str">
        <f t="shared" si="41"/>
        <v>Python</v>
      </c>
      <c r="Q263">
        <v>2</v>
      </c>
      <c r="R263">
        <v>2</v>
      </c>
      <c r="S263">
        <v>4</v>
      </c>
      <c r="T263">
        <v>1</v>
      </c>
      <c r="U263">
        <v>2</v>
      </c>
      <c r="V263">
        <v>1</v>
      </c>
      <c r="W263" t="s">
        <v>85</v>
      </c>
      <c r="X263" t="s">
        <v>56</v>
      </c>
      <c r="Y263" t="s">
        <v>37</v>
      </c>
      <c r="Z263">
        <v>35</v>
      </c>
      <c r="AA263" t="s">
        <v>38</v>
      </c>
      <c r="AB263" t="str">
        <f t="shared" si="42"/>
        <v>United States</v>
      </c>
      <c r="AC263" t="s">
        <v>240</v>
      </c>
      <c r="AD263" t="str">
        <f t="shared" si="43"/>
        <v>Masters</v>
      </c>
      <c r="AE263" t="s">
        <v>58</v>
      </c>
      <c r="AF263" t="str">
        <f t="shared" si="44"/>
        <v>Black or African American</v>
      </c>
    </row>
    <row r="264" spans="1:32" x14ac:dyDescent="0.45">
      <c r="A264" t="s">
        <v>847</v>
      </c>
      <c r="B264" t="s">
        <v>25</v>
      </c>
      <c r="C264" s="3" t="s">
        <v>26</v>
      </c>
      <c r="D264" s="3">
        <f t="shared" si="36"/>
        <v>44840</v>
      </c>
      <c r="E264" t="s">
        <v>845</v>
      </c>
      <c r="F264" s="4">
        <f t="shared" si="37"/>
        <v>0.61319444444444449</v>
      </c>
      <c r="G264" t="s">
        <v>81</v>
      </c>
      <c r="H264" t="s">
        <v>30</v>
      </c>
      <c r="I264" t="str">
        <f t="shared" si="38"/>
        <v>Data Analyst</v>
      </c>
      <c r="J264" t="s">
        <v>43</v>
      </c>
      <c r="K264" t="s">
        <v>44</v>
      </c>
      <c r="L264">
        <f t="shared" si="39"/>
        <v>53</v>
      </c>
      <c r="M264" t="s">
        <v>33</v>
      </c>
      <c r="N264" t="str">
        <f t="shared" si="40"/>
        <v>Healthcare</v>
      </c>
      <c r="O264" t="s">
        <v>34</v>
      </c>
      <c r="P264" t="str">
        <f t="shared" si="41"/>
        <v>Python</v>
      </c>
      <c r="Q264">
        <v>7</v>
      </c>
      <c r="R264">
        <v>5</v>
      </c>
      <c r="S264">
        <v>9</v>
      </c>
      <c r="T264">
        <v>9</v>
      </c>
      <c r="U264">
        <v>9</v>
      </c>
      <c r="V264">
        <v>8</v>
      </c>
      <c r="W264" t="s">
        <v>85</v>
      </c>
      <c r="X264" t="s">
        <v>36</v>
      </c>
      <c r="Y264" t="s">
        <v>37</v>
      </c>
      <c r="Z264">
        <v>29</v>
      </c>
      <c r="AA264" t="s">
        <v>848</v>
      </c>
      <c r="AB264" t="str">
        <f t="shared" si="42"/>
        <v>Other</v>
      </c>
      <c r="AC264" t="s">
        <v>240</v>
      </c>
      <c r="AD264" t="str">
        <f t="shared" si="43"/>
        <v>Masters</v>
      </c>
      <c r="AE264" t="s">
        <v>48</v>
      </c>
      <c r="AF264" t="str">
        <f t="shared" si="44"/>
        <v>Asian or Asian American</v>
      </c>
    </row>
    <row r="265" spans="1:32" x14ac:dyDescent="0.45">
      <c r="A265" t="s">
        <v>849</v>
      </c>
      <c r="B265" t="s">
        <v>25</v>
      </c>
      <c r="C265" s="3" t="s">
        <v>26</v>
      </c>
      <c r="D265" s="3">
        <f t="shared" si="36"/>
        <v>44840</v>
      </c>
      <c r="E265" t="s">
        <v>850</v>
      </c>
      <c r="F265" s="4">
        <f t="shared" si="37"/>
        <v>0.61597222222222225</v>
      </c>
      <c r="G265" t="s">
        <v>239</v>
      </c>
      <c r="H265" t="s">
        <v>30</v>
      </c>
      <c r="I265" t="str">
        <f t="shared" si="38"/>
        <v>Data Analyst</v>
      </c>
      <c r="J265" t="s">
        <v>43</v>
      </c>
      <c r="K265" t="s">
        <v>87</v>
      </c>
      <c r="L265">
        <f t="shared" si="39"/>
        <v>95.5</v>
      </c>
      <c r="M265" t="s">
        <v>103</v>
      </c>
      <c r="N265" t="str">
        <f t="shared" si="40"/>
        <v>Tech</v>
      </c>
      <c r="O265" t="s">
        <v>34</v>
      </c>
      <c r="P265" t="str">
        <f t="shared" si="41"/>
        <v>Python</v>
      </c>
      <c r="Q265">
        <v>9</v>
      </c>
      <c r="R265">
        <v>10</v>
      </c>
      <c r="S265">
        <v>8</v>
      </c>
      <c r="T265">
        <v>8</v>
      </c>
      <c r="U265">
        <v>7</v>
      </c>
      <c r="V265">
        <v>7</v>
      </c>
      <c r="W265" t="s">
        <v>85</v>
      </c>
      <c r="X265" t="s">
        <v>851</v>
      </c>
      <c r="Y265" t="s">
        <v>65</v>
      </c>
      <c r="Z265">
        <v>23</v>
      </c>
      <c r="AA265" t="s">
        <v>38</v>
      </c>
      <c r="AB265" t="str">
        <f t="shared" si="42"/>
        <v>United States</v>
      </c>
      <c r="AC265" t="s">
        <v>237</v>
      </c>
      <c r="AD265" t="str">
        <f t="shared" si="43"/>
        <v>Bachelors</v>
      </c>
      <c r="AE265" t="s">
        <v>48</v>
      </c>
      <c r="AF265" t="str">
        <f t="shared" si="44"/>
        <v>Asian or Asian American</v>
      </c>
    </row>
    <row r="266" spans="1:32" x14ac:dyDescent="0.45">
      <c r="A266" t="s">
        <v>852</v>
      </c>
      <c r="B266" t="s">
        <v>25</v>
      </c>
      <c r="C266" s="3" t="s">
        <v>26</v>
      </c>
      <c r="D266" s="3">
        <f t="shared" si="36"/>
        <v>44840</v>
      </c>
      <c r="E266" t="s">
        <v>853</v>
      </c>
      <c r="F266" s="4">
        <f t="shared" si="37"/>
        <v>0.6166666666666667</v>
      </c>
      <c r="G266" t="s">
        <v>854</v>
      </c>
      <c r="H266" t="s">
        <v>855</v>
      </c>
      <c r="I266" t="str">
        <f t="shared" si="38"/>
        <v>Other</v>
      </c>
      <c r="J266" t="s">
        <v>43</v>
      </c>
      <c r="K266" t="s">
        <v>44</v>
      </c>
      <c r="L266">
        <f t="shared" si="39"/>
        <v>53</v>
      </c>
      <c r="M266" t="s">
        <v>45</v>
      </c>
      <c r="N266" t="str">
        <f t="shared" si="40"/>
        <v>Finance</v>
      </c>
      <c r="O266" t="s">
        <v>34</v>
      </c>
      <c r="P266" t="str">
        <f t="shared" si="41"/>
        <v>Python</v>
      </c>
      <c r="Q266">
        <v>3</v>
      </c>
      <c r="R266">
        <v>3</v>
      </c>
      <c r="S266">
        <v>3</v>
      </c>
      <c r="T266">
        <v>0</v>
      </c>
      <c r="U266">
        <v>0</v>
      </c>
      <c r="V266">
        <v>1</v>
      </c>
      <c r="W266" t="s">
        <v>69</v>
      </c>
      <c r="X266" t="s">
        <v>56</v>
      </c>
      <c r="Y266" t="s">
        <v>37</v>
      </c>
      <c r="Z266">
        <v>25</v>
      </c>
      <c r="AA266" t="s">
        <v>147</v>
      </c>
      <c r="AB266" t="str">
        <f t="shared" si="42"/>
        <v>India</v>
      </c>
      <c r="AC266" t="s">
        <v>237</v>
      </c>
      <c r="AD266" t="str">
        <f t="shared" si="43"/>
        <v>Bachelors</v>
      </c>
      <c r="AE266" t="s">
        <v>48</v>
      </c>
      <c r="AF266" t="str">
        <f t="shared" si="44"/>
        <v>Asian or Asian American</v>
      </c>
    </row>
    <row r="267" spans="1:32" x14ac:dyDescent="0.45">
      <c r="A267" t="s">
        <v>856</v>
      </c>
      <c r="B267" t="s">
        <v>25</v>
      </c>
      <c r="C267" s="3" t="s">
        <v>26</v>
      </c>
      <c r="D267" s="3">
        <f t="shared" si="36"/>
        <v>44840</v>
      </c>
      <c r="E267" t="s">
        <v>857</v>
      </c>
      <c r="F267" s="4">
        <f t="shared" si="37"/>
        <v>0.61875000000000002</v>
      </c>
      <c r="G267" t="s">
        <v>336</v>
      </c>
      <c r="H267" t="s">
        <v>52</v>
      </c>
      <c r="I267" t="str">
        <f t="shared" si="38"/>
        <v>Data Engineer</v>
      </c>
      <c r="J267" t="s">
        <v>31</v>
      </c>
      <c r="K267" t="s">
        <v>87</v>
      </c>
      <c r="L267">
        <f t="shared" si="39"/>
        <v>95.5</v>
      </c>
      <c r="M267" t="s">
        <v>858</v>
      </c>
      <c r="N267" t="str">
        <f t="shared" si="40"/>
        <v>Other</v>
      </c>
      <c r="O267" t="s">
        <v>34</v>
      </c>
      <c r="P267" t="str">
        <f t="shared" si="41"/>
        <v>Python</v>
      </c>
      <c r="Q267">
        <v>8</v>
      </c>
      <c r="R267">
        <v>7</v>
      </c>
      <c r="S267">
        <v>10</v>
      </c>
      <c r="T267">
        <v>9</v>
      </c>
      <c r="U267">
        <v>10</v>
      </c>
      <c r="V267">
        <v>10</v>
      </c>
      <c r="W267" t="s">
        <v>55</v>
      </c>
      <c r="X267" t="s">
        <v>70</v>
      </c>
      <c r="Y267" t="s">
        <v>37</v>
      </c>
      <c r="Z267">
        <v>27</v>
      </c>
      <c r="AA267" t="s">
        <v>38</v>
      </c>
      <c r="AB267" t="str">
        <f t="shared" si="42"/>
        <v>United States</v>
      </c>
      <c r="AC267" t="s">
        <v>240</v>
      </c>
      <c r="AD267" t="str">
        <f t="shared" si="43"/>
        <v>Masters</v>
      </c>
      <c r="AE267" t="s">
        <v>39</v>
      </c>
      <c r="AF267" t="str">
        <f t="shared" si="44"/>
        <v>White or Caucasian</v>
      </c>
    </row>
    <row r="268" spans="1:32" x14ac:dyDescent="0.45">
      <c r="A268" t="s">
        <v>859</v>
      </c>
      <c r="B268" t="s">
        <v>25</v>
      </c>
      <c r="C268" s="3" t="s">
        <v>26</v>
      </c>
      <c r="D268" s="3">
        <f t="shared" si="36"/>
        <v>44840</v>
      </c>
      <c r="E268" t="s">
        <v>860</v>
      </c>
      <c r="F268" s="4">
        <f t="shared" si="37"/>
        <v>0.62013888888888891</v>
      </c>
      <c r="G268" t="s">
        <v>731</v>
      </c>
      <c r="H268" t="s">
        <v>30</v>
      </c>
      <c r="I268" t="str">
        <f t="shared" si="38"/>
        <v>Data Analyst</v>
      </c>
      <c r="J268" t="s">
        <v>43</v>
      </c>
      <c r="K268" t="s">
        <v>53</v>
      </c>
      <c r="L268">
        <f t="shared" si="39"/>
        <v>20</v>
      </c>
      <c r="M268" t="s">
        <v>103</v>
      </c>
      <c r="N268" t="str">
        <f t="shared" si="40"/>
        <v>Tech</v>
      </c>
      <c r="O268" t="s">
        <v>34</v>
      </c>
      <c r="P268" t="str">
        <f t="shared" si="41"/>
        <v>Python</v>
      </c>
      <c r="Q268">
        <v>3</v>
      </c>
      <c r="R268">
        <v>8</v>
      </c>
      <c r="S268">
        <v>7</v>
      </c>
      <c r="T268">
        <v>5</v>
      </c>
      <c r="U268">
        <v>8</v>
      </c>
      <c r="V268">
        <v>7</v>
      </c>
      <c r="W268" t="s">
        <v>85</v>
      </c>
      <c r="X268" t="s">
        <v>70</v>
      </c>
      <c r="Y268" t="s">
        <v>37</v>
      </c>
      <c r="Z268">
        <v>22</v>
      </c>
      <c r="AA268" t="s">
        <v>147</v>
      </c>
      <c r="AB268" t="str">
        <f t="shared" si="42"/>
        <v>India</v>
      </c>
      <c r="AC268" t="s">
        <v>237</v>
      </c>
      <c r="AD268" t="str">
        <f t="shared" si="43"/>
        <v>Bachelors</v>
      </c>
      <c r="AE268" t="s">
        <v>200</v>
      </c>
      <c r="AF268" t="str">
        <f t="shared" si="44"/>
        <v>Other</v>
      </c>
    </row>
    <row r="269" spans="1:32" x14ac:dyDescent="0.45">
      <c r="A269" t="s">
        <v>861</v>
      </c>
      <c r="B269" t="s">
        <v>25</v>
      </c>
      <c r="C269" s="3" t="s">
        <v>26</v>
      </c>
      <c r="D269" s="3">
        <f t="shared" si="36"/>
        <v>44840</v>
      </c>
      <c r="E269" t="s">
        <v>862</v>
      </c>
      <c r="F269" s="4">
        <f t="shared" si="37"/>
        <v>0.62361111111111112</v>
      </c>
      <c r="G269" t="s">
        <v>371</v>
      </c>
      <c r="H269" t="s">
        <v>30</v>
      </c>
      <c r="I269" t="str">
        <f t="shared" si="38"/>
        <v>Data Analyst</v>
      </c>
      <c r="J269" t="s">
        <v>31</v>
      </c>
      <c r="K269" t="s">
        <v>53</v>
      </c>
      <c r="L269">
        <f t="shared" si="39"/>
        <v>20</v>
      </c>
      <c r="M269" t="s">
        <v>863</v>
      </c>
      <c r="N269" t="str">
        <f t="shared" si="40"/>
        <v>Other</v>
      </c>
      <c r="O269" t="s">
        <v>34</v>
      </c>
      <c r="P269" t="str">
        <f t="shared" si="41"/>
        <v>Python</v>
      </c>
      <c r="Q269">
        <v>6</v>
      </c>
      <c r="R269">
        <v>3</v>
      </c>
      <c r="S269">
        <v>5</v>
      </c>
      <c r="T269">
        <v>7</v>
      </c>
      <c r="U269">
        <v>5</v>
      </c>
      <c r="V269">
        <v>7</v>
      </c>
      <c r="W269" t="s">
        <v>85</v>
      </c>
      <c r="X269" t="s">
        <v>56</v>
      </c>
      <c r="Y269" t="s">
        <v>37</v>
      </c>
      <c r="Z269">
        <v>22</v>
      </c>
      <c r="AA269" t="s">
        <v>147</v>
      </c>
      <c r="AB269" t="str">
        <f t="shared" si="42"/>
        <v>India</v>
      </c>
      <c r="AC269" t="s">
        <v>237</v>
      </c>
      <c r="AD269" t="str">
        <f t="shared" si="43"/>
        <v>Bachelors</v>
      </c>
      <c r="AE269" t="s">
        <v>48</v>
      </c>
      <c r="AF269" t="str">
        <f t="shared" si="44"/>
        <v>Asian or Asian American</v>
      </c>
    </row>
    <row r="270" spans="1:32" x14ac:dyDescent="0.45">
      <c r="A270" t="s">
        <v>864</v>
      </c>
      <c r="B270" t="s">
        <v>25</v>
      </c>
      <c r="C270" s="3" t="s">
        <v>26</v>
      </c>
      <c r="D270" s="3">
        <f t="shared" si="36"/>
        <v>44840</v>
      </c>
      <c r="E270" t="s">
        <v>865</v>
      </c>
      <c r="F270" s="4">
        <f t="shared" si="37"/>
        <v>0.62569444444444444</v>
      </c>
      <c r="G270" t="s">
        <v>333</v>
      </c>
      <c r="H270" t="s">
        <v>78</v>
      </c>
      <c r="I270" t="str">
        <f t="shared" si="38"/>
        <v>Other</v>
      </c>
      <c r="J270" t="s">
        <v>43</v>
      </c>
      <c r="K270" t="s">
        <v>32</v>
      </c>
      <c r="L270">
        <f t="shared" si="39"/>
        <v>115.5</v>
      </c>
      <c r="M270" t="s">
        <v>78</v>
      </c>
      <c r="N270" t="str">
        <f t="shared" si="40"/>
        <v>Other</v>
      </c>
      <c r="O270" t="s">
        <v>866</v>
      </c>
      <c r="P270" t="str">
        <f t="shared" si="41"/>
        <v>Java</v>
      </c>
      <c r="Q270">
        <v>7</v>
      </c>
      <c r="R270">
        <v>7</v>
      </c>
      <c r="S270">
        <v>4</v>
      </c>
      <c r="T270">
        <v>5</v>
      </c>
      <c r="U270">
        <v>5</v>
      </c>
      <c r="V270">
        <v>4</v>
      </c>
      <c r="W270" t="s">
        <v>85</v>
      </c>
      <c r="X270" t="s">
        <v>70</v>
      </c>
      <c r="Y270" t="s">
        <v>37</v>
      </c>
      <c r="Z270">
        <v>43</v>
      </c>
      <c r="AA270" t="s">
        <v>38</v>
      </c>
      <c r="AB270" t="str">
        <f t="shared" si="42"/>
        <v>United States</v>
      </c>
      <c r="AC270" t="s">
        <v>240</v>
      </c>
      <c r="AD270" t="str">
        <f t="shared" si="43"/>
        <v>Masters</v>
      </c>
      <c r="AE270" t="s">
        <v>48</v>
      </c>
      <c r="AF270" t="str">
        <f t="shared" si="44"/>
        <v>Asian or Asian American</v>
      </c>
    </row>
    <row r="271" spans="1:32" x14ac:dyDescent="0.45">
      <c r="A271" t="s">
        <v>867</v>
      </c>
      <c r="B271" t="s">
        <v>25</v>
      </c>
      <c r="C271" s="3" t="s">
        <v>26</v>
      </c>
      <c r="D271" s="3">
        <f t="shared" si="36"/>
        <v>44840</v>
      </c>
      <c r="E271" t="s">
        <v>868</v>
      </c>
      <c r="F271" s="4">
        <f t="shared" si="37"/>
        <v>0.62708333333333333</v>
      </c>
      <c r="G271" t="s">
        <v>869</v>
      </c>
      <c r="H271" t="s">
        <v>870</v>
      </c>
      <c r="I271" t="str">
        <f t="shared" si="38"/>
        <v>Other</v>
      </c>
      <c r="J271" t="s">
        <v>31</v>
      </c>
      <c r="K271" t="s">
        <v>53</v>
      </c>
      <c r="L271">
        <f t="shared" si="39"/>
        <v>20</v>
      </c>
      <c r="M271" t="s">
        <v>103</v>
      </c>
      <c r="N271" t="str">
        <f t="shared" si="40"/>
        <v>Tech</v>
      </c>
      <c r="O271" t="s">
        <v>34</v>
      </c>
      <c r="P271" t="str">
        <f t="shared" si="41"/>
        <v>Python</v>
      </c>
      <c r="Q271">
        <v>3</v>
      </c>
      <c r="R271">
        <v>5</v>
      </c>
      <c r="S271">
        <v>8</v>
      </c>
      <c r="T271">
        <v>4</v>
      </c>
      <c r="U271">
        <v>5</v>
      </c>
      <c r="V271">
        <v>5</v>
      </c>
      <c r="W271" t="s">
        <v>69</v>
      </c>
      <c r="X271" t="s">
        <v>70</v>
      </c>
      <c r="Y271" t="s">
        <v>65</v>
      </c>
      <c r="Z271">
        <v>32</v>
      </c>
      <c r="AA271" t="s">
        <v>38</v>
      </c>
      <c r="AB271" t="str">
        <f t="shared" si="42"/>
        <v>United States</v>
      </c>
      <c r="AC271" t="s">
        <v>237</v>
      </c>
      <c r="AD271" t="str">
        <f t="shared" si="43"/>
        <v>Bachelors</v>
      </c>
      <c r="AE271" t="s">
        <v>48</v>
      </c>
      <c r="AF271" t="str">
        <f t="shared" si="44"/>
        <v>Asian or Asian American</v>
      </c>
    </row>
    <row r="272" spans="1:32" x14ac:dyDescent="0.45">
      <c r="A272" t="s">
        <v>871</v>
      </c>
      <c r="B272" t="s">
        <v>25</v>
      </c>
      <c r="C272" s="3" t="s">
        <v>26</v>
      </c>
      <c r="D272" s="3">
        <f t="shared" si="36"/>
        <v>44840</v>
      </c>
      <c r="E272" t="s">
        <v>872</v>
      </c>
      <c r="F272" s="4">
        <f t="shared" si="37"/>
        <v>0.63194444444444442</v>
      </c>
      <c r="G272" t="s">
        <v>119</v>
      </c>
      <c r="H272" t="s">
        <v>123</v>
      </c>
      <c r="I272" t="str">
        <f t="shared" si="38"/>
        <v>None</v>
      </c>
      <c r="J272" t="s">
        <v>31</v>
      </c>
      <c r="K272" t="s">
        <v>94</v>
      </c>
      <c r="L272">
        <f t="shared" si="39"/>
        <v>75.5</v>
      </c>
      <c r="M272" t="s">
        <v>33</v>
      </c>
      <c r="N272" t="str">
        <f t="shared" si="40"/>
        <v>Healthcare</v>
      </c>
      <c r="O272" t="s">
        <v>376</v>
      </c>
      <c r="P272" t="str">
        <f t="shared" si="41"/>
        <v>Other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>
        <v>0</v>
      </c>
      <c r="W272" t="s">
        <v>69</v>
      </c>
      <c r="X272" t="s">
        <v>56</v>
      </c>
      <c r="Y272" t="s">
        <v>65</v>
      </c>
      <c r="Z272">
        <v>42</v>
      </c>
      <c r="AA272" t="s">
        <v>38</v>
      </c>
      <c r="AB272" t="str">
        <f t="shared" si="42"/>
        <v>United States</v>
      </c>
      <c r="AC272" t="s">
        <v>240</v>
      </c>
      <c r="AD272" t="str">
        <f t="shared" si="43"/>
        <v>Masters</v>
      </c>
      <c r="AE272" t="s">
        <v>48</v>
      </c>
      <c r="AF272" t="str">
        <f t="shared" si="44"/>
        <v>Asian or Asian American</v>
      </c>
    </row>
    <row r="273" spans="1:32" x14ac:dyDescent="0.45">
      <c r="A273" t="s">
        <v>873</v>
      </c>
      <c r="B273" t="s">
        <v>25</v>
      </c>
      <c r="C273" s="3" t="s">
        <v>26</v>
      </c>
      <c r="D273" s="3">
        <f t="shared" si="36"/>
        <v>44840</v>
      </c>
      <c r="E273" t="s">
        <v>874</v>
      </c>
      <c r="F273" s="4">
        <f t="shared" si="37"/>
        <v>0.63263888888888886</v>
      </c>
      <c r="G273" t="s">
        <v>682</v>
      </c>
      <c r="H273" t="s">
        <v>875</v>
      </c>
      <c r="I273" t="str">
        <f t="shared" si="38"/>
        <v>Other</v>
      </c>
      <c r="J273" t="s">
        <v>43</v>
      </c>
      <c r="K273" t="s">
        <v>94</v>
      </c>
      <c r="L273">
        <f t="shared" si="39"/>
        <v>75.5</v>
      </c>
      <c r="M273" t="s">
        <v>876</v>
      </c>
      <c r="N273" t="str">
        <f t="shared" si="40"/>
        <v>Other</v>
      </c>
      <c r="O273" t="s">
        <v>34</v>
      </c>
      <c r="P273" t="str">
        <f t="shared" si="41"/>
        <v>Python</v>
      </c>
      <c r="Q273">
        <v>4</v>
      </c>
      <c r="R273">
        <v>6</v>
      </c>
      <c r="S273">
        <v>2</v>
      </c>
      <c r="T273">
        <v>3</v>
      </c>
      <c r="U273">
        <v>3</v>
      </c>
      <c r="V273">
        <v>2</v>
      </c>
      <c r="W273" t="s">
        <v>35</v>
      </c>
      <c r="X273" t="s">
        <v>36</v>
      </c>
      <c r="Y273" t="s">
        <v>37</v>
      </c>
      <c r="Z273">
        <v>31</v>
      </c>
      <c r="AA273" t="s">
        <v>38</v>
      </c>
      <c r="AB273" t="str">
        <f t="shared" si="42"/>
        <v>United States</v>
      </c>
      <c r="AC273" t="s">
        <v>237</v>
      </c>
      <c r="AD273" t="str">
        <f t="shared" si="43"/>
        <v>Bachelors</v>
      </c>
      <c r="AE273" t="s">
        <v>91</v>
      </c>
      <c r="AF273" t="str">
        <f t="shared" si="44"/>
        <v>Hispanic or Latino</v>
      </c>
    </row>
    <row r="274" spans="1:32" x14ac:dyDescent="0.45">
      <c r="A274" t="s">
        <v>877</v>
      </c>
      <c r="B274" t="s">
        <v>25</v>
      </c>
      <c r="C274" s="3" t="s">
        <v>26</v>
      </c>
      <c r="D274" s="3">
        <f t="shared" si="36"/>
        <v>44840</v>
      </c>
      <c r="E274" t="s">
        <v>878</v>
      </c>
      <c r="F274" s="4">
        <f t="shared" si="37"/>
        <v>0.63472222222222219</v>
      </c>
      <c r="G274" t="s">
        <v>154</v>
      </c>
      <c r="H274" t="s">
        <v>52</v>
      </c>
      <c r="I274" t="str">
        <f t="shared" si="38"/>
        <v>Data Engineer</v>
      </c>
      <c r="J274" t="s">
        <v>43</v>
      </c>
      <c r="K274" t="s">
        <v>53</v>
      </c>
      <c r="L274">
        <f t="shared" si="39"/>
        <v>20</v>
      </c>
      <c r="M274" t="s">
        <v>879</v>
      </c>
      <c r="N274" t="str">
        <f t="shared" si="40"/>
        <v>Other</v>
      </c>
      <c r="O274" t="s">
        <v>34</v>
      </c>
      <c r="P274" t="str">
        <f t="shared" si="41"/>
        <v>Python</v>
      </c>
      <c r="Q274">
        <v>0</v>
      </c>
      <c r="R274">
        <v>10</v>
      </c>
      <c r="S274">
        <v>10</v>
      </c>
      <c r="T274">
        <v>5</v>
      </c>
      <c r="U274">
        <v>0</v>
      </c>
      <c r="V274">
        <v>3</v>
      </c>
      <c r="W274" t="s">
        <v>85</v>
      </c>
      <c r="X274" t="s">
        <v>70</v>
      </c>
      <c r="Y274" t="s">
        <v>37</v>
      </c>
      <c r="Z274">
        <v>25</v>
      </c>
      <c r="AA274" t="s">
        <v>109</v>
      </c>
      <c r="AB274" t="str">
        <f t="shared" si="42"/>
        <v>United Kingdom</v>
      </c>
      <c r="AC274" t="s">
        <v>237</v>
      </c>
      <c r="AD274" t="str">
        <f t="shared" si="43"/>
        <v>Bachelors</v>
      </c>
      <c r="AE274" t="s">
        <v>39</v>
      </c>
      <c r="AF274" t="str">
        <f t="shared" si="44"/>
        <v>White or Caucasian</v>
      </c>
    </row>
    <row r="275" spans="1:32" x14ac:dyDescent="0.45">
      <c r="A275" t="s">
        <v>880</v>
      </c>
      <c r="B275" t="s">
        <v>25</v>
      </c>
      <c r="C275" s="3" t="s">
        <v>26</v>
      </c>
      <c r="D275" s="3">
        <f t="shared" si="36"/>
        <v>44840</v>
      </c>
      <c r="E275" t="s">
        <v>878</v>
      </c>
      <c r="F275" s="4">
        <f t="shared" si="37"/>
        <v>0.63472222222222219</v>
      </c>
      <c r="G275" t="s">
        <v>881</v>
      </c>
      <c r="H275" t="s">
        <v>30</v>
      </c>
      <c r="I275" t="str">
        <f t="shared" si="38"/>
        <v>Data Analyst</v>
      </c>
      <c r="J275" t="s">
        <v>43</v>
      </c>
      <c r="K275" t="s">
        <v>44</v>
      </c>
      <c r="L275">
        <f t="shared" si="39"/>
        <v>53</v>
      </c>
      <c r="M275" t="s">
        <v>794</v>
      </c>
      <c r="N275" t="str">
        <f t="shared" si="40"/>
        <v>Agriculture</v>
      </c>
      <c r="O275" t="s">
        <v>84</v>
      </c>
      <c r="P275" t="str">
        <f t="shared" si="41"/>
        <v>Other</v>
      </c>
      <c r="Q275">
        <v>3</v>
      </c>
      <c r="R275">
        <v>5</v>
      </c>
      <c r="S275">
        <v>5</v>
      </c>
      <c r="T275">
        <v>5</v>
      </c>
      <c r="U275">
        <v>3</v>
      </c>
      <c r="V275">
        <v>2</v>
      </c>
      <c r="W275" t="s">
        <v>85</v>
      </c>
      <c r="X275" t="s">
        <v>70</v>
      </c>
      <c r="Y275" t="s">
        <v>65</v>
      </c>
      <c r="Z275">
        <v>25</v>
      </c>
      <c r="AA275" t="s">
        <v>38</v>
      </c>
      <c r="AB275" t="str">
        <f t="shared" si="42"/>
        <v>United States</v>
      </c>
      <c r="AC275" t="s">
        <v>240</v>
      </c>
      <c r="AD275" t="str">
        <f t="shared" si="43"/>
        <v>Masters</v>
      </c>
      <c r="AE275" t="s">
        <v>48</v>
      </c>
      <c r="AF275" t="str">
        <f t="shared" si="44"/>
        <v>Asian or Asian American</v>
      </c>
    </row>
    <row r="276" spans="1:32" x14ac:dyDescent="0.45">
      <c r="A276" t="s">
        <v>882</v>
      </c>
      <c r="B276" t="s">
        <v>25</v>
      </c>
      <c r="C276" s="3" t="s">
        <v>26</v>
      </c>
      <c r="D276" s="3">
        <f t="shared" si="36"/>
        <v>44840</v>
      </c>
      <c r="E276" t="s">
        <v>878</v>
      </c>
      <c r="F276" s="4">
        <f t="shared" si="37"/>
        <v>0.63472222222222219</v>
      </c>
      <c r="G276" t="s">
        <v>89</v>
      </c>
      <c r="H276" t="s">
        <v>30</v>
      </c>
      <c r="I276" t="str">
        <f t="shared" si="38"/>
        <v>Data Analyst</v>
      </c>
      <c r="J276" t="s">
        <v>31</v>
      </c>
      <c r="K276" t="s">
        <v>32</v>
      </c>
      <c r="L276">
        <f t="shared" si="39"/>
        <v>115.5</v>
      </c>
      <c r="M276" t="s">
        <v>129</v>
      </c>
      <c r="N276" t="str">
        <f t="shared" si="40"/>
        <v>Other</v>
      </c>
      <c r="O276" t="s">
        <v>883</v>
      </c>
      <c r="P276" t="str">
        <f t="shared" si="41"/>
        <v>Other</v>
      </c>
      <c r="Q276">
        <v>9</v>
      </c>
      <c r="R276">
        <v>9</v>
      </c>
      <c r="S276">
        <v>9</v>
      </c>
      <c r="T276">
        <v>6</v>
      </c>
      <c r="U276">
        <v>9</v>
      </c>
      <c r="V276">
        <v>8</v>
      </c>
      <c r="W276" t="s">
        <v>69</v>
      </c>
      <c r="X276" t="s">
        <v>56</v>
      </c>
      <c r="Y276" t="s">
        <v>37</v>
      </c>
      <c r="Z276">
        <v>31</v>
      </c>
      <c r="AA276" t="s">
        <v>38</v>
      </c>
      <c r="AB276" t="str">
        <f t="shared" si="42"/>
        <v>United States</v>
      </c>
      <c r="AC276" t="s">
        <v>240</v>
      </c>
      <c r="AD276" t="str">
        <f t="shared" si="43"/>
        <v>Masters</v>
      </c>
      <c r="AE276" t="s">
        <v>48</v>
      </c>
      <c r="AF276" t="str">
        <f t="shared" si="44"/>
        <v>Asian or Asian American</v>
      </c>
    </row>
    <row r="277" spans="1:32" x14ac:dyDescent="0.45">
      <c r="A277" t="s">
        <v>884</v>
      </c>
      <c r="B277" t="s">
        <v>25</v>
      </c>
      <c r="C277" s="3" t="s">
        <v>26</v>
      </c>
      <c r="D277" s="3">
        <f t="shared" si="36"/>
        <v>44840</v>
      </c>
      <c r="E277" t="s">
        <v>885</v>
      </c>
      <c r="F277" s="4">
        <f t="shared" si="37"/>
        <v>0.64097222222222228</v>
      </c>
      <c r="G277" t="s">
        <v>131</v>
      </c>
      <c r="H277" t="s">
        <v>77</v>
      </c>
      <c r="I277" t="str">
        <f t="shared" si="38"/>
        <v>Data Scientist</v>
      </c>
      <c r="J277" t="s">
        <v>31</v>
      </c>
      <c r="K277" t="s">
        <v>53</v>
      </c>
      <c r="L277">
        <f t="shared" si="39"/>
        <v>20</v>
      </c>
      <c r="M277" t="s">
        <v>108</v>
      </c>
      <c r="N277" t="str">
        <f t="shared" si="40"/>
        <v>Education</v>
      </c>
      <c r="O277" t="s">
        <v>34</v>
      </c>
      <c r="P277" t="str">
        <f t="shared" si="41"/>
        <v>Python</v>
      </c>
      <c r="Q277">
        <v>3</v>
      </c>
      <c r="R277">
        <v>3</v>
      </c>
      <c r="S277">
        <v>1</v>
      </c>
      <c r="T277">
        <v>1</v>
      </c>
      <c r="U277">
        <v>1</v>
      </c>
      <c r="V277">
        <v>6</v>
      </c>
      <c r="W277" t="s">
        <v>69</v>
      </c>
      <c r="X277" t="s">
        <v>70</v>
      </c>
      <c r="Y277" t="s">
        <v>37</v>
      </c>
      <c r="Z277">
        <v>36</v>
      </c>
      <c r="AA277" t="s">
        <v>886</v>
      </c>
      <c r="AB277" t="str">
        <f t="shared" si="42"/>
        <v>Other</v>
      </c>
      <c r="AC277" t="s">
        <v>240</v>
      </c>
      <c r="AD277" t="str">
        <f t="shared" si="43"/>
        <v>Masters</v>
      </c>
      <c r="AE277" t="s">
        <v>39</v>
      </c>
      <c r="AF277" t="str">
        <f t="shared" si="44"/>
        <v>White or Caucasian</v>
      </c>
    </row>
    <row r="278" spans="1:32" x14ac:dyDescent="0.45">
      <c r="A278" t="s">
        <v>887</v>
      </c>
      <c r="B278" t="s">
        <v>25</v>
      </c>
      <c r="C278" s="3" t="s">
        <v>26</v>
      </c>
      <c r="D278" s="3">
        <f t="shared" si="36"/>
        <v>44840</v>
      </c>
      <c r="E278" t="s">
        <v>888</v>
      </c>
      <c r="F278" s="4">
        <f t="shared" si="37"/>
        <v>0.64236111111111116</v>
      </c>
      <c r="G278" t="s">
        <v>470</v>
      </c>
      <c r="H278" t="s">
        <v>889</v>
      </c>
      <c r="I278" t="str">
        <f t="shared" si="38"/>
        <v>Other</v>
      </c>
      <c r="J278" t="s">
        <v>43</v>
      </c>
      <c r="K278" t="s">
        <v>44</v>
      </c>
      <c r="L278">
        <f t="shared" si="39"/>
        <v>53</v>
      </c>
      <c r="M278" t="s">
        <v>33</v>
      </c>
      <c r="N278" t="str">
        <f t="shared" si="40"/>
        <v>Healthcare</v>
      </c>
      <c r="O278" t="s">
        <v>34</v>
      </c>
      <c r="P278" t="str">
        <f t="shared" si="41"/>
        <v>Python</v>
      </c>
      <c r="Q278">
        <v>6</v>
      </c>
      <c r="R278">
        <v>8</v>
      </c>
      <c r="S278">
        <v>8</v>
      </c>
      <c r="T278">
        <v>8</v>
      </c>
      <c r="U278">
        <v>8</v>
      </c>
      <c r="V278">
        <v>10</v>
      </c>
      <c r="W278" t="s">
        <v>85</v>
      </c>
      <c r="X278" t="s">
        <v>56</v>
      </c>
      <c r="Y278" t="s">
        <v>65</v>
      </c>
      <c r="Z278">
        <v>35</v>
      </c>
      <c r="AA278" t="s">
        <v>271</v>
      </c>
      <c r="AB278" t="str">
        <f t="shared" si="42"/>
        <v>Other</v>
      </c>
      <c r="AC278" t="s">
        <v>240</v>
      </c>
      <c r="AD278" t="str">
        <f t="shared" si="43"/>
        <v>Masters</v>
      </c>
      <c r="AE278" t="s">
        <v>39</v>
      </c>
      <c r="AF278" t="str">
        <f t="shared" si="44"/>
        <v>White or Caucasian</v>
      </c>
    </row>
    <row r="279" spans="1:32" x14ac:dyDescent="0.45">
      <c r="A279" t="s">
        <v>890</v>
      </c>
      <c r="B279" t="s">
        <v>25</v>
      </c>
      <c r="C279" s="3" t="s">
        <v>26</v>
      </c>
      <c r="D279" s="3">
        <f t="shared" si="36"/>
        <v>44840</v>
      </c>
      <c r="E279" t="s">
        <v>891</v>
      </c>
      <c r="F279" s="4">
        <f t="shared" si="37"/>
        <v>0.64375000000000004</v>
      </c>
      <c r="G279" t="s">
        <v>682</v>
      </c>
      <c r="H279" t="s">
        <v>30</v>
      </c>
      <c r="I279" t="str">
        <f t="shared" si="38"/>
        <v>Data Analyst</v>
      </c>
      <c r="J279" t="s">
        <v>31</v>
      </c>
      <c r="K279" t="s">
        <v>94</v>
      </c>
      <c r="L279">
        <f t="shared" si="39"/>
        <v>75.5</v>
      </c>
      <c r="M279" t="s">
        <v>892</v>
      </c>
      <c r="N279" t="str">
        <f t="shared" si="40"/>
        <v>Other</v>
      </c>
      <c r="O279" t="s">
        <v>46</v>
      </c>
      <c r="P279" t="str">
        <f t="shared" si="41"/>
        <v>R</v>
      </c>
      <c r="Q279">
        <v>6</v>
      </c>
      <c r="R279">
        <v>10</v>
      </c>
      <c r="S279">
        <v>10</v>
      </c>
      <c r="T279">
        <v>10</v>
      </c>
      <c r="U279">
        <v>9</v>
      </c>
      <c r="V279">
        <v>8</v>
      </c>
      <c r="W279" t="s">
        <v>55</v>
      </c>
      <c r="X279" t="s">
        <v>36</v>
      </c>
      <c r="Y279" t="s">
        <v>37</v>
      </c>
      <c r="Z279">
        <v>28</v>
      </c>
      <c r="AA279" t="s">
        <v>38</v>
      </c>
      <c r="AB279" t="str">
        <f t="shared" si="42"/>
        <v>United States</v>
      </c>
      <c r="AC279" t="s">
        <v>237</v>
      </c>
      <c r="AD279" t="str">
        <f t="shared" si="43"/>
        <v>Bachelors</v>
      </c>
      <c r="AE279" t="s">
        <v>39</v>
      </c>
      <c r="AF279" t="str">
        <f t="shared" si="44"/>
        <v>White or Caucasian</v>
      </c>
    </row>
    <row r="280" spans="1:32" x14ac:dyDescent="0.45">
      <c r="A280" t="s">
        <v>893</v>
      </c>
      <c r="B280" t="s">
        <v>25</v>
      </c>
      <c r="C280" s="3" t="s">
        <v>26</v>
      </c>
      <c r="D280" s="3">
        <f t="shared" si="36"/>
        <v>44840</v>
      </c>
      <c r="E280" t="s">
        <v>894</v>
      </c>
      <c r="F280" s="4">
        <f t="shared" si="37"/>
        <v>0.64444444444444449</v>
      </c>
      <c r="G280" t="s">
        <v>406</v>
      </c>
      <c r="H280" t="s">
        <v>30</v>
      </c>
      <c r="I280" t="str">
        <f t="shared" si="38"/>
        <v>Data Analyst</v>
      </c>
      <c r="J280" t="s">
        <v>43</v>
      </c>
      <c r="K280" t="s">
        <v>53</v>
      </c>
      <c r="L280">
        <f t="shared" si="39"/>
        <v>20</v>
      </c>
      <c r="M280" t="s">
        <v>895</v>
      </c>
      <c r="N280" t="str">
        <f t="shared" si="40"/>
        <v>Other</v>
      </c>
      <c r="O280" t="s">
        <v>34</v>
      </c>
      <c r="P280" t="str">
        <f t="shared" si="41"/>
        <v>Python</v>
      </c>
      <c r="Q280">
        <v>8</v>
      </c>
      <c r="R280">
        <v>8</v>
      </c>
      <c r="S280">
        <v>9</v>
      </c>
      <c r="T280">
        <v>9</v>
      </c>
      <c r="U280">
        <v>8</v>
      </c>
      <c r="V280">
        <v>7</v>
      </c>
      <c r="W280" t="s">
        <v>85</v>
      </c>
      <c r="X280" t="s">
        <v>70</v>
      </c>
      <c r="Y280" t="s">
        <v>37</v>
      </c>
      <c r="Z280">
        <v>27</v>
      </c>
      <c r="AA280" t="s">
        <v>728</v>
      </c>
      <c r="AB280" t="str">
        <f t="shared" si="42"/>
        <v>Other</v>
      </c>
      <c r="AC280" t="s">
        <v>237</v>
      </c>
      <c r="AD280" t="str">
        <f t="shared" si="43"/>
        <v>Bachelors</v>
      </c>
      <c r="AE280" t="s">
        <v>91</v>
      </c>
      <c r="AF280" t="str">
        <f t="shared" si="44"/>
        <v>Hispanic or Latino</v>
      </c>
    </row>
    <row r="281" spans="1:32" x14ac:dyDescent="0.45">
      <c r="A281" t="s">
        <v>896</v>
      </c>
      <c r="B281" t="s">
        <v>25</v>
      </c>
      <c r="C281" s="3" t="s">
        <v>26</v>
      </c>
      <c r="D281" s="3">
        <f t="shared" si="36"/>
        <v>44840</v>
      </c>
      <c r="E281" t="s">
        <v>897</v>
      </c>
      <c r="F281" s="4">
        <f t="shared" si="37"/>
        <v>0.64583333333333337</v>
      </c>
      <c r="G281" t="s">
        <v>131</v>
      </c>
      <c r="H281" t="s">
        <v>30</v>
      </c>
      <c r="I281" t="str">
        <f t="shared" si="38"/>
        <v>Data Analyst</v>
      </c>
      <c r="J281" t="s">
        <v>31</v>
      </c>
      <c r="K281" t="s">
        <v>53</v>
      </c>
      <c r="L281">
        <f t="shared" si="39"/>
        <v>20</v>
      </c>
      <c r="M281" t="s">
        <v>898</v>
      </c>
      <c r="N281" t="str">
        <f t="shared" si="40"/>
        <v>Other</v>
      </c>
      <c r="O281" t="s">
        <v>34</v>
      </c>
      <c r="P281" t="str">
        <f t="shared" si="41"/>
        <v>Python</v>
      </c>
      <c r="Q281">
        <v>7</v>
      </c>
      <c r="R281">
        <v>4</v>
      </c>
      <c r="S281">
        <v>7</v>
      </c>
      <c r="T281">
        <v>4</v>
      </c>
      <c r="U281">
        <v>8</v>
      </c>
      <c r="V281">
        <v>10</v>
      </c>
      <c r="W281" t="s">
        <v>55</v>
      </c>
      <c r="X281" t="s">
        <v>56</v>
      </c>
      <c r="Y281" t="s">
        <v>37</v>
      </c>
      <c r="Z281">
        <v>25</v>
      </c>
      <c r="AA281" t="s">
        <v>899</v>
      </c>
      <c r="AB281" t="str">
        <f t="shared" si="42"/>
        <v>Other</v>
      </c>
      <c r="AC281" t="s">
        <v>237</v>
      </c>
      <c r="AD281" t="str">
        <f t="shared" si="43"/>
        <v>Bachelors</v>
      </c>
      <c r="AE281" t="s">
        <v>91</v>
      </c>
      <c r="AF281" t="str">
        <f t="shared" si="44"/>
        <v>Hispanic or Latino</v>
      </c>
    </row>
    <row r="282" spans="1:32" x14ac:dyDescent="0.45">
      <c r="A282" t="s">
        <v>900</v>
      </c>
      <c r="B282" t="s">
        <v>25</v>
      </c>
      <c r="C282" s="3" t="s">
        <v>26</v>
      </c>
      <c r="D282" s="3">
        <f t="shared" si="36"/>
        <v>44840</v>
      </c>
      <c r="E282" t="s">
        <v>901</v>
      </c>
      <c r="F282" s="4">
        <f t="shared" si="37"/>
        <v>0.65208333333333335</v>
      </c>
      <c r="G282" t="s">
        <v>234</v>
      </c>
      <c r="H282" t="s">
        <v>30</v>
      </c>
      <c r="I282" t="str">
        <f t="shared" si="38"/>
        <v>Data Analyst</v>
      </c>
      <c r="J282" t="s">
        <v>43</v>
      </c>
      <c r="K282" t="s">
        <v>53</v>
      </c>
      <c r="L282">
        <f t="shared" si="39"/>
        <v>20</v>
      </c>
      <c r="M282" t="s">
        <v>858</v>
      </c>
      <c r="N282" t="str">
        <f t="shared" si="40"/>
        <v>Other</v>
      </c>
      <c r="O282" t="s">
        <v>34</v>
      </c>
      <c r="P282" t="str">
        <f t="shared" si="41"/>
        <v>Python</v>
      </c>
      <c r="Q282">
        <v>6</v>
      </c>
      <c r="R282">
        <v>6</v>
      </c>
      <c r="S282">
        <v>10</v>
      </c>
      <c r="T282">
        <v>8</v>
      </c>
      <c r="U282">
        <v>6</v>
      </c>
      <c r="V282">
        <v>8</v>
      </c>
      <c r="W282" t="s">
        <v>85</v>
      </c>
      <c r="X282" t="s">
        <v>70</v>
      </c>
      <c r="Y282" t="s">
        <v>37</v>
      </c>
      <c r="Z282">
        <v>25</v>
      </c>
      <c r="AA282" t="s">
        <v>500</v>
      </c>
      <c r="AB282" t="str">
        <f t="shared" si="42"/>
        <v>Other</v>
      </c>
      <c r="AC282" t="s">
        <v>237</v>
      </c>
      <c r="AD282" t="str">
        <f t="shared" si="43"/>
        <v>Bachelors</v>
      </c>
      <c r="AE282" t="s">
        <v>39</v>
      </c>
      <c r="AF282" t="str">
        <f t="shared" si="44"/>
        <v>White or Caucasian</v>
      </c>
    </row>
    <row r="283" spans="1:32" x14ac:dyDescent="0.45">
      <c r="A283" t="s">
        <v>902</v>
      </c>
      <c r="B283" t="s">
        <v>25</v>
      </c>
      <c r="C283" s="3" t="s">
        <v>26</v>
      </c>
      <c r="D283" s="3">
        <f t="shared" si="36"/>
        <v>44840</v>
      </c>
      <c r="E283" t="s">
        <v>903</v>
      </c>
      <c r="F283" s="4">
        <f t="shared" si="37"/>
        <v>0.65347222222222223</v>
      </c>
      <c r="G283" t="s">
        <v>392</v>
      </c>
      <c r="H283" t="s">
        <v>904</v>
      </c>
      <c r="I283" t="str">
        <f t="shared" si="38"/>
        <v>Other</v>
      </c>
      <c r="J283" t="s">
        <v>43</v>
      </c>
      <c r="K283" t="s">
        <v>44</v>
      </c>
      <c r="L283">
        <f t="shared" si="39"/>
        <v>53</v>
      </c>
      <c r="M283" t="s">
        <v>905</v>
      </c>
      <c r="N283" t="str">
        <f t="shared" si="40"/>
        <v>Other</v>
      </c>
      <c r="O283" t="s">
        <v>46</v>
      </c>
      <c r="P283" t="str">
        <f t="shared" si="41"/>
        <v>R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 t="s">
        <v>69</v>
      </c>
      <c r="X283" t="s">
        <v>56</v>
      </c>
      <c r="Y283" t="s">
        <v>37</v>
      </c>
      <c r="Z283">
        <v>22</v>
      </c>
      <c r="AA283" t="s">
        <v>38</v>
      </c>
      <c r="AB283" t="str">
        <f t="shared" si="42"/>
        <v>United States</v>
      </c>
      <c r="AC283" t="s">
        <v>240</v>
      </c>
      <c r="AD283" t="str">
        <f t="shared" si="43"/>
        <v>Masters</v>
      </c>
      <c r="AE283" t="s">
        <v>39</v>
      </c>
      <c r="AF283" t="str">
        <f t="shared" si="44"/>
        <v>White or Caucasian</v>
      </c>
    </row>
    <row r="284" spans="1:32" x14ac:dyDescent="0.45">
      <c r="A284" t="s">
        <v>906</v>
      </c>
      <c r="B284" t="s">
        <v>25</v>
      </c>
      <c r="C284" s="3" t="s">
        <v>26</v>
      </c>
      <c r="D284" s="3">
        <f t="shared" si="36"/>
        <v>44840</v>
      </c>
      <c r="E284" t="s">
        <v>907</v>
      </c>
      <c r="F284" s="4">
        <f t="shared" si="37"/>
        <v>0.66041666666666665</v>
      </c>
      <c r="G284" t="s">
        <v>908</v>
      </c>
      <c r="H284" t="s">
        <v>30</v>
      </c>
      <c r="I284" t="str">
        <f t="shared" si="38"/>
        <v>Data Analyst</v>
      </c>
      <c r="J284" t="s">
        <v>31</v>
      </c>
      <c r="K284" t="s">
        <v>44</v>
      </c>
      <c r="L284">
        <f t="shared" si="39"/>
        <v>53</v>
      </c>
      <c r="M284" t="s">
        <v>33</v>
      </c>
      <c r="N284" t="str">
        <f t="shared" si="40"/>
        <v>Healthcare</v>
      </c>
      <c r="O284" t="s">
        <v>674</v>
      </c>
      <c r="P284" t="str">
        <f t="shared" si="41"/>
        <v>Other</v>
      </c>
      <c r="Q284">
        <v>7</v>
      </c>
      <c r="R284">
        <v>8</v>
      </c>
      <c r="S284">
        <v>8</v>
      </c>
      <c r="T284">
        <v>4</v>
      </c>
      <c r="U284">
        <v>6</v>
      </c>
      <c r="V284">
        <v>8</v>
      </c>
      <c r="W284" t="s">
        <v>85</v>
      </c>
      <c r="X284" t="s">
        <v>114</v>
      </c>
      <c r="Y284" t="s">
        <v>37</v>
      </c>
      <c r="Z284">
        <v>38</v>
      </c>
      <c r="AA284" t="s">
        <v>267</v>
      </c>
      <c r="AB284" t="str">
        <f t="shared" si="42"/>
        <v>Other</v>
      </c>
      <c r="AC284" t="s">
        <v>227</v>
      </c>
      <c r="AD284" t="str">
        <f t="shared" si="43"/>
        <v>High School</v>
      </c>
      <c r="AE284" t="s">
        <v>39</v>
      </c>
      <c r="AF284" t="str">
        <f t="shared" si="44"/>
        <v>White or Caucasian</v>
      </c>
    </row>
    <row r="285" spans="1:32" x14ac:dyDescent="0.45">
      <c r="A285" t="s">
        <v>909</v>
      </c>
      <c r="B285" t="s">
        <v>25</v>
      </c>
      <c r="C285" s="3" t="s">
        <v>26</v>
      </c>
      <c r="D285" s="3">
        <f t="shared" si="36"/>
        <v>44840</v>
      </c>
      <c r="E285" t="s">
        <v>910</v>
      </c>
      <c r="F285" s="4">
        <f t="shared" si="37"/>
        <v>0.66319444444444442</v>
      </c>
      <c r="G285" t="s">
        <v>141</v>
      </c>
      <c r="H285" t="s">
        <v>30</v>
      </c>
      <c r="I285" t="str">
        <f t="shared" si="38"/>
        <v>Data Analyst</v>
      </c>
      <c r="J285" t="s">
        <v>31</v>
      </c>
      <c r="K285" t="s">
        <v>53</v>
      </c>
      <c r="L285">
        <f t="shared" si="39"/>
        <v>20</v>
      </c>
      <c r="M285" t="s">
        <v>108</v>
      </c>
      <c r="N285" t="str">
        <f t="shared" si="40"/>
        <v>Education</v>
      </c>
      <c r="O285" t="s">
        <v>34</v>
      </c>
      <c r="P285" t="str">
        <f t="shared" si="41"/>
        <v>Python</v>
      </c>
      <c r="Q285">
        <v>0</v>
      </c>
      <c r="R285">
        <v>0</v>
      </c>
      <c r="S285">
        <v>5</v>
      </c>
      <c r="T285">
        <v>0</v>
      </c>
      <c r="U285">
        <v>0</v>
      </c>
      <c r="V285">
        <v>0</v>
      </c>
      <c r="W285" t="s">
        <v>69</v>
      </c>
      <c r="X285" t="s">
        <v>114</v>
      </c>
      <c r="Y285" t="s">
        <v>37</v>
      </c>
      <c r="Z285">
        <v>27</v>
      </c>
      <c r="AA285" t="s">
        <v>132</v>
      </c>
      <c r="AB285" t="str">
        <f t="shared" si="42"/>
        <v>Other</v>
      </c>
      <c r="AC285" t="s">
        <v>237</v>
      </c>
      <c r="AD285" t="str">
        <f t="shared" si="43"/>
        <v>Bachelors</v>
      </c>
      <c r="AE285" t="s">
        <v>58</v>
      </c>
      <c r="AF285" t="str">
        <f t="shared" si="44"/>
        <v>Black or African American</v>
      </c>
    </row>
    <row r="286" spans="1:32" x14ac:dyDescent="0.45">
      <c r="A286" t="s">
        <v>911</v>
      </c>
      <c r="B286" t="s">
        <v>25</v>
      </c>
      <c r="C286" s="3" t="s">
        <v>26</v>
      </c>
      <c r="D286" s="3">
        <f t="shared" si="36"/>
        <v>44840</v>
      </c>
      <c r="E286" t="s">
        <v>912</v>
      </c>
      <c r="F286" s="4">
        <f t="shared" si="37"/>
        <v>0.6645833333333333</v>
      </c>
      <c r="G286" t="s">
        <v>913</v>
      </c>
      <c r="H286" t="s">
        <v>30</v>
      </c>
      <c r="I286" t="str">
        <f t="shared" si="38"/>
        <v>Data Analyst</v>
      </c>
      <c r="J286" t="s">
        <v>31</v>
      </c>
      <c r="K286" t="s">
        <v>87</v>
      </c>
      <c r="L286">
        <f t="shared" si="39"/>
        <v>95.5</v>
      </c>
      <c r="M286" t="s">
        <v>393</v>
      </c>
      <c r="N286" t="str">
        <f t="shared" si="40"/>
        <v>Other</v>
      </c>
      <c r="O286" t="s">
        <v>914</v>
      </c>
      <c r="P286" t="str">
        <f t="shared" si="41"/>
        <v>Other</v>
      </c>
      <c r="Q286">
        <v>4</v>
      </c>
      <c r="R286">
        <v>4</v>
      </c>
      <c r="S286">
        <v>2</v>
      </c>
      <c r="T286">
        <v>2</v>
      </c>
      <c r="U286">
        <v>2</v>
      </c>
      <c r="V286">
        <v>2</v>
      </c>
      <c r="W286" t="s">
        <v>55</v>
      </c>
      <c r="X286" t="s">
        <v>36</v>
      </c>
      <c r="Y286" t="s">
        <v>65</v>
      </c>
      <c r="Z286">
        <v>34</v>
      </c>
      <c r="AA286" t="s">
        <v>47</v>
      </c>
      <c r="AB286" t="str">
        <f t="shared" si="42"/>
        <v>Canada</v>
      </c>
      <c r="AC286" t="s">
        <v>237</v>
      </c>
      <c r="AD286" t="str">
        <f t="shared" si="43"/>
        <v>Bachelors</v>
      </c>
      <c r="AE286" t="s">
        <v>58</v>
      </c>
      <c r="AF286" t="str">
        <f t="shared" si="44"/>
        <v>Black or African American</v>
      </c>
    </row>
    <row r="287" spans="1:32" x14ac:dyDescent="0.45">
      <c r="A287" t="s">
        <v>915</v>
      </c>
      <c r="B287" t="s">
        <v>25</v>
      </c>
      <c r="C287" s="3" t="s">
        <v>26</v>
      </c>
      <c r="D287" s="3">
        <f t="shared" si="36"/>
        <v>44840</v>
      </c>
      <c r="E287" t="s">
        <v>916</v>
      </c>
      <c r="F287" s="4">
        <f t="shared" si="37"/>
        <v>0.66874999999999996</v>
      </c>
      <c r="G287" t="s">
        <v>375</v>
      </c>
      <c r="H287" t="s">
        <v>30</v>
      </c>
      <c r="I287" t="str">
        <f t="shared" si="38"/>
        <v>Data Analyst</v>
      </c>
      <c r="J287" t="s">
        <v>31</v>
      </c>
      <c r="K287" t="s">
        <v>94</v>
      </c>
      <c r="L287">
        <f t="shared" si="39"/>
        <v>75.5</v>
      </c>
      <c r="M287" t="s">
        <v>917</v>
      </c>
      <c r="N287" t="str">
        <f t="shared" si="40"/>
        <v>Other</v>
      </c>
      <c r="O287" t="s">
        <v>34</v>
      </c>
      <c r="P287" t="str">
        <f t="shared" si="41"/>
        <v>Python</v>
      </c>
      <c r="Q287">
        <v>9</v>
      </c>
      <c r="R287">
        <v>10</v>
      </c>
      <c r="S287">
        <v>10</v>
      </c>
      <c r="T287">
        <v>9</v>
      </c>
      <c r="U287">
        <v>8</v>
      </c>
      <c r="V287">
        <v>10</v>
      </c>
      <c r="W287" t="s">
        <v>69</v>
      </c>
      <c r="X287" t="s">
        <v>70</v>
      </c>
      <c r="Y287" t="s">
        <v>65</v>
      </c>
      <c r="Z287">
        <v>31</v>
      </c>
      <c r="AA287" t="s">
        <v>38</v>
      </c>
      <c r="AB287" t="str">
        <f t="shared" si="42"/>
        <v>United States</v>
      </c>
      <c r="AC287" t="s">
        <v>237</v>
      </c>
      <c r="AD287" t="str">
        <f t="shared" si="43"/>
        <v>Bachelors</v>
      </c>
      <c r="AE287" t="s">
        <v>39</v>
      </c>
      <c r="AF287" t="str">
        <f t="shared" si="44"/>
        <v>White or Caucasian</v>
      </c>
    </row>
    <row r="288" spans="1:32" x14ac:dyDescent="0.45">
      <c r="A288" t="s">
        <v>918</v>
      </c>
      <c r="B288" t="s">
        <v>25</v>
      </c>
      <c r="C288" s="3" t="s">
        <v>26</v>
      </c>
      <c r="D288" s="3">
        <f t="shared" si="36"/>
        <v>44840</v>
      </c>
      <c r="E288" t="s">
        <v>919</v>
      </c>
      <c r="F288" s="4">
        <f t="shared" si="37"/>
        <v>0.67291666666666672</v>
      </c>
      <c r="G288" t="s">
        <v>920</v>
      </c>
      <c r="H288" t="s">
        <v>30</v>
      </c>
      <c r="I288" t="str">
        <f t="shared" si="38"/>
        <v>Data Analyst</v>
      </c>
      <c r="J288" t="s">
        <v>31</v>
      </c>
      <c r="K288" t="s">
        <v>44</v>
      </c>
      <c r="L288">
        <f t="shared" si="39"/>
        <v>53</v>
      </c>
      <c r="M288" t="s">
        <v>103</v>
      </c>
      <c r="N288" t="str">
        <f t="shared" si="40"/>
        <v>Tech</v>
      </c>
      <c r="O288" t="s">
        <v>34</v>
      </c>
      <c r="P288" t="str">
        <f t="shared" si="41"/>
        <v>Python</v>
      </c>
      <c r="Q288">
        <v>4</v>
      </c>
      <c r="R288">
        <v>9</v>
      </c>
      <c r="S288">
        <v>8</v>
      </c>
      <c r="T288">
        <v>8</v>
      </c>
      <c r="U288">
        <v>6</v>
      </c>
      <c r="V288">
        <v>10</v>
      </c>
      <c r="W288" t="s">
        <v>85</v>
      </c>
      <c r="X288" t="s">
        <v>70</v>
      </c>
      <c r="Y288" t="s">
        <v>65</v>
      </c>
      <c r="Z288">
        <v>33</v>
      </c>
      <c r="AA288" t="s">
        <v>47</v>
      </c>
      <c r="AB288" t="str">
        <f t="shared" si="42"/>
        <v>Canada</v>
      </c>
      <c r="AC288" t="s">
        <v>240</v>
      </c>
      <c r="AD288" t="str">
        <f t="shared" si="43"/>
        <v>Masters</v>
      </c>
      <c r="AE288" t="s">
        <v>58</v>
      </c>
      <c r="AF288" t="str">
        <f t="shared" si="44"/>
        <v>Black or African American</v>
      </c>
    </row>
    <row r="289" spans="1:32" x14ac:dyDescent="0.45">
      <c r="A289" t="s">
        <v>921</v>
      </c>
      <c r="B289" t="s">
        <v>25</v>
      </c>
      <c r="C289" s="3" t="s">
        <v>26</v>
      </c>
      <c r="D289" s="3">
        <f t="shared" si="36"/>
        <v>44840</v>
      </c>
      <c r="E289" t="s">
        <v>922</v>
      </c>
      <c r="F289" s="4">
        <f t="shared" si="37"/>
        <v>0.68194444444444446</v>
      </c>
      <c r="G289" t="s">
        <v>700</v>
      </c>
      <c r="H289" t="s">
        <v>123</v>
      </c>
      <c r="I289" t="str">
        <f t="shared" si="38"/>
        <v>None</v>
      </c>
      <c r="J289" t="s">
        <v>31</v>
      </c>
      <c r="K289" t="s">
        <v>53</v>
      </c>
      <c r="L289">
        <f t="shared" si="39"/>
        <v>20</v>
      </c>
      <c r="M289" t="s">
        <v>103</v>
      </c>
      <c r="N289" t="str">
        <f t="shared" si="40"/>
        <v>Tech</v>
      </c>
      <c r="O289" t="s">
        <v>34</v>
      </c>
      <c r="P289" t="str">
        <f t="shared" si="41"/>
        <v>Python</v>
      </c>
      <c r="Q289">
        <v>2</v>
      </c>
      <c r="R289">
        <v>5</v>
      </c>
      <c r="S289">
        <v>5</v>
      </c>
      <c r="T289">
        <v>5</v>
      </c>
      <c r="U289">
        <v>5</v>
      </c>
      <c r="V289">
        <v>5</v>
      </c>
      <c r="W289" t="s">
        <v>35</v>
      </c>
      <c r="X289" t="s">
        <v>36</v>
      </c>
      <c r="Y289" t="s">
        <v>37</v>
      </c>
      <c r="Z289">
        <v>23</v>
      </c>
      <c r="AA289" t="s">
        <v>38</v>
      </c>
      <c r="AB289" t="str">
        <f t="shared" si="42"/>
        <v>United States</v>
      </c>
      <c r="AC289" t="s">
        <v>237</v>
      </c>
      <c r="AD289" t="str">
        <f t="shared" si="43"/>
        <v>Bachelors</v>
      </c>
      <c r="AE289" t="s">
        <v>48</v>
      </c>
      <c r="AF289" t="str">
        <f t="shared" si="44"/>
        <v>Asian or Asian American</v>
      </c>
    </row>
    <row r="290" spans="1:32" x14ac:dyDescent="0.45">
      <c r="A290" t="s">
        <v>923</v>
      </c>
      <c r="B290" t="s">
        <v>25</v>
      </c>
      <c r="C290" s="3" t="s">
        <v>26</v>
      </c>
      <c r="D290" s="3">
        <f t="shared" si="36"/>
        <v>44840</v>
      </c>
      <c r="E290" t="s">
        <v>924</v>
      </c>
      <c r="F290" s="4">
        <f t="shared" si="37"/>
        <v>0.68472222222222223</v>
      </c>
      <c r="G290" t="s">
        <v>467</v>
      </c>
      <c r="H290" t="s">
        <v>30</v>
      </c>
      <c r="I290" t="str">
        <f t="shared" si="38"/>
        <v>Data Analyst</v>
      </c>
      <c r="J290" t="s">
        <v>31</v>
      </c>
      <c r="K290" t="s">
        <v>44</v>
      </c>
      <c r="L290">
        <f t="shared" si="39"/>
        <v>53</v>
      </c>
      <c r="M290" t="s">
        <v>33</v>
      </c>
      <c r="N290" t="str">
        <f t="shared" si="40"/>
        <v>Healthcare</v>
      </c>
      <c r="O290" t="s">
        <v>925</v>
      </c>
      <c r="P290" t="str">
        <f t="shared" si="41"/>
        <v>Other</v>
      </c>
      <c r="Q290">
        <v>3</v>
      </c>
      <c r="R290">
        <v>10</v>
      </c>
      <c r="S290">
        <v>9</v>
      </c>
      <c r="T290">
        <v>10</v>
      </c>
      <c r="U290">
        <v>5</v>
      </c>
      <c r="V290">
        <v>0</v>
      </c>
      <c r="W290" t="s">
        <v>85</v>
      </c>
      <c r="X290" t="s">
        <v>70</v>
      </c>
      <c r="Y290" t="s">
        <v>65</v>
      </c>
      <c r="Z290">
        <v>25</v>
      </c>
      <c r="AA290" t="s">
        <v>38</v>
      </c>
      <c r="AB290" t="str">
        <f t="shared" si="42"/>
        <v>United States</v>
      </c>
      <c r="AC290" t="s">
        <v>237</v>
      </c>
      <c r="AD290" t="str">
        <f t="shared" si="43"/>
        <v>Bachelors</v>
      </c>
      <c r="AE290" t="s">
        <v>48</v>
      </c>
      <c r="AF290" t="str">
        <f t="shared" si="44"/>
        <v>Asian or Asian American</v>
      </c>
    </row>
    <row r="291" spans="1:32" x14ac:dyDescent="0.45">
      <c r="A291" t="s">
        <v>926</v>
      </c>
      <c r="B291" t="s">
        <v>25</v>
      </c>
      <c r="C291" s="3" t="s">
        <v>26</v>
      </c>
      <c r="D291" s="3">
        <f t="shared" si="36"/>
        <v>44840</v>
      </c>
      <c r="E291" t="s">
        <v>927</v>
      </c>
      <c r="F291" s="4">
        <f t="shared" si="37"/>
        <v>0.6875</v>
      </c>
      <c r="G291" t="s">
        <v>731</v>
      </c>
      <c r="H291" t="s">
        <v>30</v>
      </c>
      <c r="I291" t="str">
        <f t="shared" si="38"/>
        <v>Data Analyst</v>
      </c>
      <c r="J291" t="s">
        <v>31</v>
      </c>
      <c r="K291" t="s">
        <v>53</v>
      </c>
      <c r="L291">
        <f t="shared" si="39"/>
        <v>20</v>
      </c>
      <c r="M291" t="s">
        <v>103</v>
      </c>
      <c r="N291" t="str">
        <f t="shared" si="40"/>
        <v>Tech</v>
      </c>
      <c r="O291" t="s">
        <v>34</v>
      </c>
      <c r="P291" t="str">
        <f t="shared" si="41"/>
        <v>Python</v>
      </c>
      <c r="Q291">
        <v>4</v>
      </c>
      <c r="R291">
        <v>4</v>
      </c>
      <c r="S291">
        <v>4</v>
      </c>
      <c r="T291">
        <v>5</v>
      </c>
      <c r="U291">
        <v>2</v>
      </c>
      <c r="V291">
        <v>1</v>
      </c>
      <c r="W291" t="s">
        <v>69</v>
      </c>
      <c r="X291" t="s">
        <v>70</v>
      </c>
      <c r="Y291" t="s">
        <v>37</v>
      </c>
      <c r="Z291">
        <v>29</v>
      </c>
      <c r="AA291" t="s">
        <v>928</v>
      </c>
      <c r="AB291" t="str">
        <f t="shared" si="42"/>
        <v>Other</v>
      </c>
      <c r="AC291" t="s">
        <v>240</v>
      </c>
      <c r="AD291" t="str">
        <f t="shared" si="43"/>
        <v>Masters</v>
      </c>
      <c r="AE291" t="s">
        <v>39</v>
      </c>
      <c r="AF291" t="str">
        <f t="shared" si="44"/>
        <v>White or Caucasian</v>
      </c>
    </row>
    <row r="292" spans="1:32" x14ac:dyDescent="0.45">
      <c r="A292" t="s">
        <v>929</v>
      </c>
      <c r="B292" t="s">
        <v>25</v>
      </c>
      <c r="C292" s="3" t="s">
        <v>26</v>
      </c>
      <c r="D292" s="3">
        <f t="shared" si="36"/>
        <v>44840</v>
      </c>
      <c r="E292" t="s">
        <v>930</v>
      </c>
      <c r="F292" s="4">
        <f t="shared" si="37"/>
        <v>0.68958333333333333</v>
      </c>
      <c r="G292" t="s">
        <v>931</v>
      </c>
      <c r="H292" t="s">
        <v>625</v>
      </c>
      <c r="I292" t="str">
        <f t="shared" si="38"/>
        <v>Other</v>
      </c>
      <c r="J292" t="s">
        <v>31</v>
      </c>
      <c r="K292" t="s">
        <v>44</v>
      </c>
      <c r="L292">
        <f t="shared" si="39"/>
        <v>53</v>
      </c>
      <c r="M292" t="s">
        <v>33</v>
      </c>
      <c r="N292" t="str">
        <f t="shared" si="40"/>
        <v>Healthcare</v>
      </c>
      <c r="O292" t="s">
        <v>46</v>
      </c>
      <c r="P292" t="str">
        <f t="shared" si="41"/>
        <v>R</v>
      </c>
      <c r="Q292">
        <v>5</v>
      </c>
      <c r="R292">
        <v>7</v>
      </c>
      <c r="S292">
        <v>9</v>
      </c>
      <c r="T292">
        <v>8</v>
      </c>
      <c r="U292">
        <v>8</v>
      </c>
      <c r="V292">
        <v>8</v>
      </c>
      <c r="W292" t="s">
        <v>85</v>
      </c>
      <c r="X292" t="s">
        <v>70</v>
      </c>
      <c r="Y292" t="s">
        <v>65</v>
      </c>
      <c r="Z292">
        <v>29</v>
      </c>
      <c r="AA292" t="s">
        <v>38</v>
      </c>
      <c r="AB292" t="str">
        <f t="shared" si="42"/>
        <v>United States</v>
      </c>
      <c r="AC292" t="s">
        <v>240</v>
      </c>
      <c r="AD292" t="str">
        <f t="shared" si="43"/>
        <v>Masters</v>
      </c>
      <c r="AE292" t="s">
        <v>58</v>
      </c>
      <c r="AF292" t="str">
        <f t="shared" si="44"/>
        <v>Black or African American</v>
      </c>
    </row>
    <row r="293" spans="1:32" x14ac:dyDescent="0.45">
      <c r="A293" t="s">
        <v>932</v>
      </c>
      <c r="B293" t="s">
        <v>25</v>
      </c>
      <c r="C293" s="3" t="s">
        <v>26</v>
      </c>
      <c r="D293" s="3">
        <f t="shared" si="36"/>
        <v>44840</v>
      </c>
      <c r="E293" t="s">
        <v>933</v>
      </c>
      <c r="F293" s="4">
        <f t="shared" si="37"/>
        <v>0.69166666666666665</v>
      </c>
      <c r="G293" t="s">
        <v>375</v>
      </c>
      <c r="H293" t="s">
        <v>30</v>
      </c>
      <c r="I293" t="str">
        <f t="shared" si="38"/>
        <v>Data Analyst</v>
      </c>
      <c r="J293" t="s">
        <v>31</v>
      </c>
      <c r="K293" t="s">
        <v>53</v>
      </c>
      <c r="L293">
        <f t="shared" si="39"/>
        <v>20</v>
      </c>
      <c r="M293" t="s">
        <v>103</v>
      </c>
      <c r="N293" t="str">
        <f t="shared" si="40"/>
        <v>Tech</v>
      </c>
      <c r="O293" t="s">
        <v>46</v>
      </c>
      <c r="P293" t="str">
        <f t="shared" si="41"/>
        <v>R</v>
      </c>
      <c r="Q293">
        <v>3</v>
      </c>
      <c r="R293">
        <v>4</v>
      </c>
      <c r="S293">
        <v>4</v>
      </c>
      <c r="T293">
        <v>4</v>
      </c>
      <c r="U293">
        <v>4</v>
      </c>
      <c r="V293">
        <v>2</v>
      </c>
      <c r="W293" t="s">
        <v>55</v>
      </c>
      <c r="X293" t="s">
        <v>70</v>
      </c>
      <c r="Y293" t="s">
        <v>37</v>
      </c>
      <c r="Z293">
        <v>31</v>
      </c>
      <c r="AA293" t="s">
        <v>147</v>
      </c>
      <c r="AB293" t="str">
        <f t="shared" si="42"/>
        <v>India</v>
      </c>
      <c r="AC293" t="s">
        <v>240</v>
      </c>
      <c r="AD293" t="str">
        <f t="shared" si="43"/>
        <v>Masters</v>
      </c>
      <c r="AE293" t="s">
        <v>48</v>
      </c>
      <c r="AF293" t="str">
        <f t="shared" si="44"/>
        <v>Asian or Asian American</v>
      </c>
    </row>
    <row r="294" spans="1:32" x14ac:dyDescent="0.45">
      <c r="A294" t="s">
        <v>934</v>
      </c>
      <c r="B294" t="s">
        <v>25</v>
      </c>
      <c r="C294" s="3" t="s">
        <v>26</v>
      </c>
      <c r="D294" s="3">
        <f t="shared" si="36"/>
        <v>44840</v>
      </c>
      <c r="E294" t="s">
        <v>935</v>
      </c>
      <c r="F294" s="4">
        <f t="shared" si="37"/>
        <v>0.69305555555555554</v>
      </c>
      <c r="G294" t="s">
        <v>186</v>
      </c>
      <c r="H294" t="s">
        <v>123</v>
      </c>
      <c r="I294" t="str">
        <f t="shared" si="38"/>
        <v>None</v>
      </c>
      <c r="J294" t="s">
        <v>43</v>
      </c>
      <c r="K294" t="s">
        <v>53</v>
      </c>
      <c r="L294">
        <f t="shared" si="39"/>
        <v>20</v>
      </c>
      <c r="M294" t="s">
        <v>712</v>
      </c>
      <c r="N294" t="str">
        <f t="shared" si="40"/>
        <v>Real Estate</v>
      </c>
      <c r="O294" t="s">
        <v>46</v>
      </c>
      <c r="P294" t="str">
        <f t="shared" si="41"/>
        <v>R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 t="s">
        <v>35</v>
      </c>
      <c r="X294" t="s">
        <v>36</v>
      </c>
      <c r="Y294" t="s">
        <v>37</v>
      </c>
      <c r="Z294">
        <v>34</v>
      </c>
      <c r="AA294" t="s">
        <v>936</v>
      </c>
      <c r="AB294" t="str">
        <f t="shared" si="42"/>
        <v>Other</v>
      </c>
      <c r="AC294" t="s">
        <v>227</v>
      </c>
      <c r="AD294" t="str">
        <f t="shared" si="43"/>
        <v>High School</v>
      </c>
      <c r="AE294" t="s">
        <v>58</v>
      </c>
      <c r="AF294" t="str">
        <f t="shared" si="44"/>
        <v>Black or African American</v>
      </c>
    </row>
    <row r="295" spans="1:32" x14ac:dyDescent="0.45">
      <c r="A295" t="s">
        <v>937</v>
      </c>
      <c r="B295" t="s">
        <v>25</v>
      </c>
      <c r="C295" s="3" t="s">
        <v>26</v>
      </c>
      <c r="D295" s="3">
        <f t="shared" si="36"/>
        <v>44840</v>
      </c>
      <c r="E295" t="s">
        <v>938</v>
      </c>
      <c r="F295" s="4">
        <f t="shared" si="37"/>
        <v>0.69444444444444442</v>
      </c>
      <c r="G295" t="s">
        <v>265</v>
      </c>
      <c r="H295" t="s">
        <v>30</v>
      </c>
      <c r="I295" t="str">
        <f t="shared" si="38"/>
        <v>Data Analyst</v>
      </c>
      <c r="J295" t="s">
        <v>31</v>
      </c>
      <c r="K295" t="s">
        <v>53</v>
      </c>
      <c r="L295">
        <f t="shared" si="39"/>
        <v>20</v>
      </c>
      <c r="M295" t="s">
        <v>103</v>
      </c>
      <c r="N295" t="str">
        <f t="shared" si="40"/>
        <v>Tech</v>
      </c>
      <c r="O295" t="s">
        <v>34</v>
      </c>
      <c r="P295" t="str">
        <f t="shared" si="41"/>
        <v>Python</v>
      </c>
      <c r="Q295">
        <v>3</v>
      </c>
      <c r="R295">
        <v>2</v>
      </c>
      <c r="S295">
        <v>4</v>
      </c>
      <c r="T295">
        <v>3</v>
      </c>
      <c r="U295">
        <v>7</v>
      </c>
      <c r="V295">
        <v>8</v>
      </c>
      <c r="W295" t="s">
        <v>55</v>
      </c>
      <c r="X295" t="s">
        <v>56</v>
      </c>
      <c r="Y295" t="s">
        <v>37</v>
      </c>
      <c r="Z295">
        <v>26</v>
      </c>
      <c r="AA295" t="s">
        <v>939</v>
      </c>
      <c r="AB295" t="str">
        <f t="shared" si="42"/>
        <v>Other</v>
      </c>
      <c r="AC295" t="s">
        <v>237</v>
      </c>
      <c r="AD295" t="str">
        <f t="shared" si="43"/>
        <v>Bachelors</v>
      </c>
      <c r="AE295" t="s">
        <v>940</v>
      </c>
      <c r="AF295" t="str">
        <f t="shared" si="44"/>
        <v>Other</v>
      </c>
    </row>
    <row r="296" spans="1:32" x14ac:dyDescent="0.45">
      <c r="A296" t="s">
        <v>941</v>
      </c>
      <c r="B296" t="s">
        <v>25</v>
      </c>
      <c r="C296" s="3" t="s">
        <v>26</v>
      </c>
      <c r="D296" s="3">
        <f t="shared" si="36"/>
        <v>44840</v>
      </c>
      <c r="E296" t="s">
        <v>942</v>
      </c>
      <c r="F296" s="4">
        <f t="shared" si="37"/>
        <v>0.69722222222222219</v>
      </c>
      <c r="G296" t="s">
        <v>157</v>
      </c>
      <c r="H296" t="s">
        <v>943</v>
      </c>
      <c r="I296" t="str">
        <f t="shared" si="38"/>
        <v>Other</v>
      </c>
      <c r="J296" t="s">
        <v>43</v>
      </c>
      <c r="K296" t="s">
        <v>87</v>
      </c>
      <c r="L296">
        <f t="shared" si="39"/>
        <v>95.5</v>
      </c>
      <c r="M296" t="s">
        <v>33</v>
      </c>
      <c r="N296" t="str">
        <f t="shared" si="40"/>
        <v>Healthcare</v>
      </c>
      <c r="O296" t="s">
        <v>34</v>
      </c>
      <c r="P296" t="str">
        <f t="shared" si="41"/>
        <v>Python</v>
      </c>
      <c r="Q296">
        <v>4</v>
      </c>
      <c r="R296">
        <v>6</v>
      </c>
      <c r="S296">
        <v>5</v>
      </c>
      <c r="T296">
        <v>6</v>
      </c>
      <c r="U296">
        <v>6</v>
      </c>
      <c r="V296">
        <v>4</v>
      </c>
      <c r="W296" t="s">
        <v>85</v>
      </c>
      <c r="X296" t="s">
        <v>36</v>
      </c>
      <c r="Y296" t="s">
        <v>65</v>
      </c>
      <c r="Z296">
        <v>26</v>
      </c>
      <c r="AA296" t="s">
        <v>38</v>
      </c>
      <c r="AB296" t="str">
        <f t="shared" si="42"/>
        <v>United States</v>
      </c>
      <c r="AC296" t="s">
        <v>237</v>
      </c>
      <c r="AD296" t="str">
        <f t="shared" si="43"/>
        <v>Bachelors</v>
      </c>
      <c r="AE296" t="s">
        <v>39</v>
      </c>
      <c r="AF296" t="str">
        <f t="shared" si="44"/>
        <v>White or Caucasian</v>
      </c>
    </row>
    <row r="297" spans="1:32" x14ac:dyDescent="0.45">
      <c r="A297" t="s">
        <v>944</v>
      </c>
      <c r="B297" t="s">
        <v>25</v>
      </c>
      <c r="C297" s="3" t="s">
        <v>26</v>
      </c>
      <c r="D297" s="3">
        <f t="shared" si="36"/>
        <v>44840</v>
      </c>
      <c r="E297" t="s">
        <v>945</v>
      </c>
      <c r="F297" s="4">
        <f t="shared" si="37"/>
        <v>0.7006944444444444</v>
      </c>
      <c r="G297" t="s">
        <v>913</v>
      </c>
      <c r="H297" t="s">
        <v>946</v>
      </c>
      <c r="I297" t="str">
        <f t="shared" si="38"/>
        <v>Other</v>
      </c>
      <c r="J297" t="s">
        <v>31</v>
      </c>
      <c r="K297" t="s">
        <v>44</v>
      </c>
      <c r="L297">
        <f t="shared" si="39"/>
        <v>53</v>
      </c>
      <c r="M297" t="s">
        <v>947</v>
      </c>
      <c r="N297" t="str">
        <f t="shared" si="40"/>
        <v>Other</v>
      </c>
      <c r="O297" t="s">
        <v>533</v>
      </c>
      <c r="P297" t="str">
        <f t="shared" si="41"/>
        <v>Other</v>
      </c>
      <c r="Q297">
        <v>3</v>
      </c>
      <c r="R297">
        <v>6</v>
      </c>
      <c r="S297">
        <v>9</v>
      </c>
      <c r="T297">
        <v>6</v>
      </c>
      <c r="U297">
        <v>5</v>
      </c>
      <c r="V297">
        <v>10</v>
      </c>
      <c r="W297" t="s">
        <v>69</v>
      </c>
      <c r="X297" t="s">
        <v>948</v>
      </c>
      <c r="Y297" t="s">
        <v>37</v>
      </c>
      <c r="Z297">
        <v>27</v>
      </c>
      <c r="AA297" t="s">
        <v>38</v>
      </c>
      <c r="AB297" t="str">
        <f t="shared" si="42"/>
        <v>United States</v>
      </c>
      <c r="AC297" t="s">
        <v>240</v>
      </c>
      <c r="AD297" t="str">
        <f t="shared" si="43"/>
        <v>Masters</v>
      </c>
      <c r="AE297" t="s">
        <v>58</v>
      </c>
      <c r="AF297" t="str">
        <f t="shared" si="44"/>
        <v>Black or African American</v>
      </c>
    </row>
    <row r="298" spans="1:32" x14ac:dyDescent="0.45">
      <c r="A298" t="s">
        <v>949</v>
      </c>
      <c r="B298" t="s">
        <v>25</v>
      </c>
      <c r="C298" s="3" t="s">
        <v>26</v>
      </c>
      <c r="D298" s="3">
        <f t="shared" si="36"/>
        <v>44840</v>
      </c>
      <c r="E298" t="s">
        <v>950</v>
      </c>
      <c r="F298" s="4">
        <f t="shared" si="37"/>
        <v>0.70277777777777772</v>
      </c>
      <c r="G298" t="s">
        <v>825</v>
      </c>
      <c r="H298" t="s">
        <v>30</v>
      </c>
      <c r="I298" t="str">
        <f t="shared" si="38"/>
        <v>Data Analyst</v>
      </c>
      <c r="J298" t="s">
        <v>31</v>
      </c>
      <c r="K298" t="s">
        <v>94</v>
      </c>
      <c r="L298">
        <f t="shared" si="39"/>
        <v>75.5</v>
      </c>
      <c r="M298" t="s">
        <v>951</v>
      </c>
      <c r="N298" t="str">
        <f t="shared" si="40"/>
        <v>Other</v>
      </c>
      <c r="O298" t="s">
        <v>34</v>
      </c>
      <c r="P298" t="str">
        <f t="shared" si="41"/>
        <v>Python</v>
      </c>
      <c r="Q298">
        <v>8</v>
      </c>
      <c r="R298">
        <v>5</v>
      </c>
      <c r="S298">
        <v>9</v>
      </c>
      <c r="T298">
        <v>6</v>
      </c>
      <c r="U298">
        <v>6</v>
      </c>
      <c r="V298">
        <v>10</v>
      </c>
      <c r="W298" t="s">
        <v>85</v>
      </c>
      <c r="X298" t="s">
        <v>36</v>
      </c>
      <c r="Y298" t="s">
        <v>37</v>
      </c>
      <c r="Z298">
        <v>26</v>
      </c>
      <c r="AA298" t="s">
        <v>38</v>
      </c>
      <c r="AB298" t="str">
        <f t="shared" si="42"/>
        <v>United States</v>
      </c>
      <c r="AC298" t="s">
        <v>237</v>
      </c>
      <c r="AD298" t="str">
        <f t="shared" si="43"/>
        <v>Bachelors</v>
      </c>
      <c r="AE298" t="s">
        <v>39</v>
      </c>
      <c r="AF298" t="str">
        <f t="shared" si="44"/>
        <v>White or Caucasian</v>
      </c>
    </row>
    <row r="299" spans="1:32" x14ac:dyDescent="0.45">
      <c r="A299" t="s">
        <v>952</v>
      </c>
      <c r="B299" t="s">
        <v>25</v>
      </c>
      <c r="C299" s="3" t="s">
        <v>26</v>
      </c>
      <c r="D299" s="3">
        <f t="shared" si="36"/>
        <v>44840</v>
      </c>
      <c r="E299" t="s">
        <v>953</v>
      </c>
      <c r="F299" s="4">
        <f t="shared" si="37"/>
        <v>0.70347222222222228</v>
      </c>
      <c r="G299" t="s">
        <v>552</v>
      </c>
      <c r="H299" t="s">
        <v>123</v>
      </c>
      <c r="I299" t="str">
        <f t="shared" si="38"/>
        <v>None</v>
      </c>
      <c r="J299" t="s">
        <v>31</v>
      </c>
      <c r="K299" t="s">
        <v>53</v>
      </c>
      <c r="L299">
        <f t="shared" si="39"/>
        <v>20</v>
      </c>
      <c r="M299" t="s">
        <v>103</v>
      </c>
      <c r="N299" t="str">
        <f t="shared" si="40"/>
        <v>Tech</v>
      </c>
      <c r="O299" t="s">
        <v>34</v>
      </c>
      <c r="P299" t="str">
        <f t="shared" si="41"/>
        <v>Python</v>
      </c>
      <c r="Q299">
        <v>4</v>
      </c>
      <c r="R299">
        <v>5</v>
      </c>
      <c r="S299">
        <v>4</v>
      </c>
      <c r="T299">
        <v>4</v>
      </c>
      <c r="U299">
        <v>3</v>
      </c>
      <c r="V299">
        <v>4</v>
      </c>
      <c r="W299" t="s">
        <v>35</v>
      </c>
      <c r="X299" t="s">
        <v>70</v>
      </c>
      <c r="Y299" t="s">
        <v>65</v>
      </c>
      <c r="Z299">
        <v>26</v>
      </c>
      <c r="AA299" t="s">
        <v>38</v>
      </c>
      <c r="AB299" t="str">
        <f t="shared" si="42"/>
        <v>United States</v>
      </c>
      <c r="AC299" t="s">
        <v>240</v>
      </c>
      <c r="AD299" t="str">
        <f t="shared" si="43"/>
        <v>Masters</v>
      </c>
      <c r="AE299" t="s">
        <v>48</v>
      </c>
      <c r="AF299" t="str">
        <f t="shared" si="44"/>
        <v>Asian or Asian American</v>
      </c>
    </row>
    <row r="300" spans="1:32" x14ac:dyDescent="0.45">
      <c r="A300" t="s">
        <v>954</v>
      </c>
      <c r="B300" t="s">
        <v>25</v>
      </c>
      <c r="C300" s="3" t="s">
        <v>26</v>
      </c>
      <c r="D300" s="3">
        <f t="shared" si="36"/>
        <v>44840</v>
      </c>
      <c r="E300" t="s">
        <v>955</v>
      </c>
      <c r="F300" s="4">
        <f t="shared" si="37"/>
        <v>0.70902777777777781</v>
      </c>
      <c r="G300" t="s">
        <v>239</v>
      </c>
      <c r="H300" t="s">
        <v>30</v>
      </c>
      <c r="I300" t="str">
        <f t="shared" si="38"/>
        <v>Data Analyst</v>
      </c>
      <c r="J300" t="s">
        <v>31</v>
      </c>
      <c r="K300" t="s">
        <v>44</v>
      </c>
      <c r="L300">
        <f t="shared" si="39"/>
        <v>53</v>
      </c>
      <c r="M300" t="s">
        <v>45</v>
      </c>
      <c r="N300" t="str">
        <f t="shared" si="40"/>
        <v>Finance</v>
      </c>
      <c r="O300" t="s">
        <v>46</v>
      </c>
      <c r="P300" t="str">
        <f t="shared" si="41"/>
        <v>R</v>
      </c>
      <c r="Q300">
        <v>2</v>
      </c>
      <c r="R300">
        <v>5</v>
      </c>
      <c r="S300">
        <v>5</v>
      </c>
      <c r="T300">
        <v>5</v>
      </c>
      <c r="U300">
        <v>4</v>
      </c>
      <c r="V300">
        <v>5</v>
      </c>
      <c r="W300" t="s">
        <v>55</v>
      </c>
      <c r="X300" t="s">
        <v>70</v>
      </c>
      <c r="Y300" t="s">
        <v>37</v>
      </c>
      <c r="Z300">
        <v>24</v>
      </c>
      <c r="AA300" t="s">
        <v>38</v>
      </c>
      <c r="AB300" t="str">
        <f t="shared" si="42"/>
        <v>United States</v>
      </c>
      <c r="AC300" t="s">
        <v>237</v>
      </c>
      <c r="AD300" t="str">
        <f t="shared" si="43"/>
        <v>Bachelors</v>
      </c>
      <c r="AE300" t="s">
        <v>39</v>
      </c>
      <c r="AF300" t="str">
        <f t="shared" si="44"/>
        <v>White or Caucasian</v>
      </c>
    </row>
    <row r="301" spans="1:32" x14ac:dyDescent="0.45">
      <c r="A301" t="s">
        <v>956</v>
      </c>
      <c r="B301" t="s">
        <v>25</v>
      </c>
      <c r="C301" s="3" t="s">
        <v>26</v>
      </c>
      <c r="D301" s="3">
        <f t="shared" si="36"/>
        <v>44840</v>
      </c>
      <c r="E301" t="s">
        <v>957</v>
      </c>
      <c r="F301" s="4">
        <f t="shared" si="37"/>
        <v>0.71250000000000002</v>
      </c>
      <c r="G301" t="s">
        <v>51</v>
      </c>
      <c r="H301" t="s">
        <v>30</v>
      </c>
      <c r="I301" t="str">
        <f t="shared" si="38"/>
        <v>Data Analyst</v>
      </c>
      <c r="J301" t="s">
        <v>31</v>
      </c>
      <c r="K301" t="s">
        <v>87</v>
      </c>
      <c r="L301">
        <f t="shared" si="39"/>
        <v>95.5</v>
      </c>
      <c r="M301" t="s">
        <v>83</v>
      </c>
      <c r="N301" t="str">
        <f t="shared" si="40"/>
        <v>Other</v>
      </c>
      <c r="O301" t="s">
        <v>34</v>
      </c>
      <c r="P301" t="str">
        <f t="shared" si="41"/>
        <v>Python</v>
      </c>
      <c r="Q301">
        <v>4</v>
      </c>
      <c r="R301">
        <v>6</v>
      </c>
      <c r="S301">
        <v>3</v>
      </c>
      <c r="T301">
        <v>4</v>
      </c>
      <c r="U301">
        <v>4</v>
      </c>
      <c r="V301">
        <v>2</v>
      </c>
      <c r="W301" t="s">
        <v>55</v>
      </c>
      <c r="X301" t="s">
        <v>70</v>
      </c>
      <c r="Y301" t="s">
        <v>65</v>
      </c>
      <c r="Z301">
        <v>28</v>
      </c>
      <c r="AA301" t="s">
        <v>958</v>
      </c>
      <c r="AB301" t="str">
        <f t="shared" si="42"/>
        <v>Other</v>
      </c>
      <c r="AC301" t="s">
        <v>240</v>
      </c>
      <c r="AD301" t="str">
        <f t="shared" si="43"/>
        <v>Masters</v>
      </c>
      <c r="AE301" t="s">
        <v>200</v>
      </c>
      <c r="AF301" t="str">
        <f t="shared" si="44"/>
        <v>Other</v>
      </c>
    </row>
    <row r="302" spans="1:32" x14ac:dyDescent="0.45">
      <c r="A302" t="s">
        <v>959</v>
      </c>
      <c r="B302" t="s">
        <v>25</v>
      </c>
      <c r="C302" s="3" t="s">
        <v>26</v>
      </c>
      <c r="D302" s="3">
        <f t="shared" si="36"/>
        <v>44840</v>
      </c>
      <c r="E302" t="s">
        <v>960</v>
      </c>
      <c r="F302" s="4">
        <f t="shared" si="37"/>
        <v>0.71458333333333335</v>
      </c>
      <c r="G302" t="s">
        <v>239</v>
      </c>
      <c r="H302" t="s">
        <v>30</v>
      </c>
      <c r="I302" t="str">
        <f t="shared" si="38"/>
        <v>Data Analyst</v>
      </c>
      <c r="J302" t="s">
        <v>31</v>
      </c>
      <c r="K302" t="s">
        <v>32</v>
      </c>
      <c r="L302">
        <f t="shared" si="39"/>
        <v>115.5</v>
      </c>
      <c r="M302" t="s">
        <v>491</v>
      </c>
      <c r="N302" t="str">
        <f t="shared" si="40"/>
        <v>Other</v>
      </c>
      <c r="O302" t="s">
        <v>46</v>
      </c>
      <c r="P302" t="str">
        <f t="shared" si="41"/>
        <v>R</v>
      </c>
      <c r="Q302">
        <v>8</v>
      </c>
      <c r="R302">
        <v>8</v>
      </c>
      <c r="S302">
        <v>10</v>
      </c>
      <c r="T302">
        <v>9</v>
      </c>
      <c r="U302">
        <v>7</v>
      </c>
      <c r="V302">
        <v>5</v>
      </c>
      <c r="W302" t="s">
        <v>55</v>
      </c>
      <c r="X302" t="s">
        <v>70</v>
      </c>
      <c r="Y302" t="s">
        <v>37</v>
      </c>
      <c r="Z302">
        <v>29</v>
      </c>
      <c r="AA302" t="s">
        <v>38</v>
      </c>
      <c r="AB302" t="str">
        <f t="shared" si="42"/>
        <v>United States</v>
      </c>
      <c r="AC302" t="s">
        <v>237</v>
      </c>
      <c r="AD302" t="str">
        <f t="shared" si="43"/>
        <v>Bachelors</v>
      </c>
      <c r="AE302" t="s">
        <v>39</v>
      </c>
      <c r="AF302" t="str">
        <f t="shared" si="44"/>
        <v>White or Caucasian</v>
      </c>
    </row>
    <row r="303" spans="1:32" x14ac:dyDescent="0.45">
      <c r="A303" t="s">
        <v>961</v>
      </c>
      <c r="B303" t="s">
        <v>25</v>
      </c>
      <c r="C303" s="3" t="s">
        <v>26</v>
      </c>
      <c r="D303" s="3">
        <f t="shared" si="36"/>
        <v>44840</v>
      </c>
      <c r="E303" t="s">
        <v>962</v>
      </c>
      <c r="F303" s="4">
        <f t="shared" si="37"/>
        <v>0.71736111111111112</v>
      </c>
      <c r="G303" t="s">
        <v>963</v>
      </c>
      <c r="H303" t="s">
        <v>30</v>
      </c>
      <c r="I303" t="str">
        <f t="shared" si="38"/>
        <v>Data Analyst</v>
      </c>
      <c r="J303" t="s">
        <v>31</v>
      </c>
      <c r="K303" t="s">
        <v>94</v>
      </c>
      <c r="L303">
        <f t="shared" si="39"/>
        <v>75.5</v>
      </c>
      <c r="M303" t="s">
        <v>45</v>
      </c>
      <c r="N303" t="str">
        <f t="shared" si="40"/>
        <v>Finance</v>
      </c>
      <c r="O303" t="s">
        <v>34</v>
      </c>
      <c r="P303" t="str">
        <f t="shared" si="41"/>
        <v>Python</v>
      </c>
      <c r="Q303">
        <v>3</v>
      </c>
      <c r="R303">
        <v>2</v>
      </c>
      <c r="S303">
        <v>1</v>
      </c>
      <c r="T303">
        <v>1</v>
      </c>
      <c r="U303">
        <v>0</v>
      </c>
      <c r="V303">
        <v>2</v>
      </c>
      <c r="W303" t="s">
        <v>35</v>
      </c>
      <c r="X303" t="s">
        <v>70</v>
      </c>
      <c r="Y303" t="s">
        <v>65</v>
      </c>
      <c r="Z303">
        <v>26</v>
      </c>
      <c r="AA303" t="s">
        <v>38</v>
      </c>
      <c r="AB303" t="str">
        <f t="shared" si="42"/>
        <v>United States</v>
      </c>
      <c r="AC303" t="s">
        <v>240</v>
      </c>
      <c r="AD303" t="str">
        <f t="shared" si="43"/>
        <v>Masters</v>
      </c>
      <c r="AE303" t="s">
        <v>48</v>
      </c>
      <c r="AF303" t="str">
        <f t="shared" si="44"/>
        <v>Asian or Asian American</v>
      </c>
    </row>
    <row r="304" spans="1:32" x14ac:dyDescent="0.45">
      <c r="A304" t="s">
        <v>964</v>
      </c>
      <c r="B304" t="s">
        <v>25</v>
      </c>
      <c r="C304" s="3" t="s">
        <v>26</v>
      </c>
      <c r="D304" s="3">
        <f t="shared" si="36"/>
        <v>44840</v>
      </c>
      <c r="E304" t="s">
        <v>965</v>
      </c>
      <c r="F304" s="4">
        <f t="shared" si="37"/>
        <v>0.73611111111111116</v>
      </c>
      <c r="G304" t="s">
        <v>322</v>
      </c>
      <c r="H304" t="s">
        <v>30</v>
      </c>
      <c r="I304" t="str">
        <f t="shared" si="38"/>
        <v>Data Analyst</v>
      </c>
      <c r="J304" t="s">
        <v>31</v>
      </c>
      <c r="K304" t="s">
        <v>44</v>
      </c>
      <c r="L304">
        <f t="shared" si="39"/>
        <v>53</v>
      </c>
      <c r="M304" t="s">
        <v>966</v>
      </c>
      <c r="N304" t="str">
        <f t="shared" si="40"/>
        <v>Other</v>
      </c>
      <c r="O304" t="s">
        <v>34</v>
      </c>
      <c r="P304" t="str">
        <f t="shared" si="41"/>
        <v>Python</v>
      </c>
      <c r="Q304">
        <v>3</v>
      </c>
      <c r="R304">
        <v>5</v>
      </c>
      <c r="S304">
        <v>3</v>
      </c>
      <c r="T304">
        <v>3</v>
      </c>
      <c r="U304">
        <v>1</v>
      </c>
      <c r="V304">
        <v>1</v>
      </c>
      <c r="W304" t="s">
        <v>85</v>
      </c>
      <c r="X304" t="s">
        <v>70</v>
      </c>
      <c r="Y304" t="s">
        <v>37</v>
      </c>
      <c r="Z304">
        <v>28</v>
      </c>
      <c r="AA304" t="s">
        <v>109</v>
      </c>
      <c r="AB304" t="str">
        <f t="shared" si="42"/>
        <v>United Kingdom</v>
      </c>
      <c r="AC304" t="s">
        <v>237</v>
      </c>
      <c r="AD304" t="str">
        <f t="shared" si="43"/>
        <v>Bachelors</v>
      </c>
      <c r="AE304" t="s">
        <v>39</v>
      </c>
      <c r="AF304" t="str">
        <f t="shared" si="44"/>
        <v>White or Caucasian</v>
      </c>
    </row>
    <row r="305" spans="1:32" x14ac:dyDescent="0.45">
      <c r="A305" t="s">
        <v>967</v>
      </c>
      <c r="B305" t="s">
        <v>25</v>
      </c>
      <c r="C305" s="3" t="s">
        <v>26</v>
      </c>
      <c r="D305" s="3">
        <f t="shared" si="36"/>
        <v>44840</v>
      </c>
      <c r="E305" t="s">
        <v>968</v>
      </c>
      <c r="F305" s="4">
        <f t="shared" si="37"/>
        <v>0.7368055555555556</v>
      </c>
      <c r="G305" t="s">
        <v>969</v>
      </c>
      <c r="H305" t="s">
        <v>30</v>
      </c>
      <c r="I305" t="str">
        <f t="shared" si="38"/>
        <v>Data Analyst</v>
      </c>
      <c r="J305" t="s">
        <v>43</v>
      </c>
      <c r="K305" t="s">
        <v>53</v>
      </c>
      <c r="L305">
        <f t="shared" si="39"/>
        <v>20</v>
      </c>
      <c r="M305" t="s">
        <v>45</v>
      </c>
      <c r="N305" t="str">
        <f t="shared" si="40"/>
        <v>Finance</v>
      </c>
      <c r="O305" t="s">
        <v>34</v>
      </c>
      <c r="P305" t="str">
        <f t="shared" si="41"/>
        <v>Python</v>
      </c>
      <c r="Q305">
        <v>6</v>
      </c>
      <c r="R305">
        <v>8</v>
      </c>
      <c r="S305">
        <v>7</v>
      </c>
      <c r="T305">
        <v>6</v>
      </c>
      <c r="U305">
        <v>2</v>
      </c>
      <c r="V305">
        <v>4</v>
      </c>
      <c r="W305" t="s">
        <v>55</v>
      </c>
      <c r="X305" t="s">
        <v>970</v>
      </c>
      <c r="Y305" t="s">
        <v>37</v>
      </c>
      <c r="Z305">
        <v>25</v>
      </c>
      <c r="AA305" t="s">
        <v>289</v>
      </c>
      <c r="AB305" t="str">
        <f t="shared" si="42"/>
        <v>Other</v>
      </c>
      <c r="AC305" t="s">
        <v>240</v>
      </c>
      <c r="AD305" t="str">
        <f t="shared" si="43"/>
        <v>Masters</v>
      </c>
      <c r="AE305" t="s">
        <v>39</v>
      </c>
      <c r="AF305" t="str">
        <f t="shared" si="44"/>
        <v>White or Caucasian</v>
      </c>
    </row>
    <row r="306" spans="1:32" x14ac:dyDescent="0.45">
      <c r="A306" t="s">
        <v>971</v>
      </c>
      <c r="B306" t="s">
        <v>25</v>
      </c>
      <c r="C306" s="3" t="s">
        <v>26</v>
      </c>
      <c r="D306" s="3">
        <f t="shared" si="36"/>
        <v>44840</v>
      </c>
      <c r="E306" t="s">
        <v>972</v>
      </c>
      <c r="F306" s="4">
        <f t="shared" si="37"/>
        <v>0.74097222222222225</v>
      </c>
      <c r="G306" t="s">
        <v>42</v>
      </c>
      <c r="H306" t="s">
        <v>30</v>
      </c>
      <c r="I306" t="str">
        <f t="shared" si="38"/>
        <v>Data Analyst</v>
      </c>
      <c r="J306" t="s">
        <v>31</v>
      </c>
      <c r="K306" t="s">
        <v>94</v>
      </c>
      <c r="L306">
        <f t="shared" si="39"/>
        <v>75.5</v>
      </c>
      <c r="M306" t="s">
        <v>45</v>
      </c>
      <c r="N306" t="str">
        <f t="shared" si="40"/>
        <v>Finance</v>
      </c>
      <c r="O306" t="s">
        <v>46</v>
      </c>
      <c r="P306" t="str">
        <f t="shared" si="41"/>
        <v>R</v>
      </c>
      <c r="Q306">
        <v>5</v>
      </c>
      <c r="R306">
        <v>7</v>
      </c>
      <c r="S306">
        <v>7</v>
      </c>
      <c r="T306">
        <v>3</v>
      </c>
      <c r="U306">
        <v>7</v>
      </c>
      <c r="V306">
        <v>9</v>
      </c>
      <c r="W306" t="s">
        <v>69</v>
      </c>
      <c r="X306" t="s">
        <v>70</v>
      </c>
      <c r="Y306" t="s">
        <v>65</v>
      </c>
      <c r="Z306">
        <v>26</v>
      </c>
      <c r="AA306" t="s">
        <v>38</v>
      </c>
      <c r="AB306" t="str">
        <f t="shared" si="42"/>
        <v>United States</v>
      </c>
      <c r="AC306" t="s">
        <v>237</v>
      </c>
      <c r="AD306" t="str">
        <f t="shared" si="43"/>
        <v>Bachelors</v>
      </c>
      <c r="AE306" t="s">
        <v>48</v>
      </c>
      <c r="AF306" t="str">
        <f t="shared" si="44"/>
        <v>Asian or Asian American</v>
      </c>
    </row>
    <row r="307" spans="1:32" x14ac:dyDescent="0.45">
      <c r="A307" t="s">
        <v>973</v>
      </c>
      <c r="B307" t="s">
        <v>25</v>
      </c>
      <c r="C307" s="3" t="s">
        <v>26</v>
      </c>
      <c r="D307" s="3">
        <f t="shared" si="36"/>
        <v>44840</v>
      </c>
      <c r="E307" t="s">
        <v>974</v>
      </c>
      <c r="F307" s="4">
        <f t="shared" si="37"/>
        <v>0.75</v>
      </c>
      <c r="G307" t="s">
        <v>975</v>
      </c>
      <c r="H307" t="s">
        <v>52</v>
      </c>
      <c r="I307" t="str">
        <f t="shared" si="38"/>
        <v>Data Engineer</v>
      </c>
      <c r="J307" t="s">
        <v>31</v>
      </c>
      <c r="K307" t="s">
        <v>82</v>
      </c>
      <c r="L307">
        <f t="shared" si="39"/>
        <v>137.5</v>
      </c>
      <c r="M307" t="s">
        <v>33</v>
      </c>
      <c r="N307" t="str">
        <f t="shared" si="40"/>
        <v>Healthcare</v>
      </c>
      <c r="O307" t="s">
        <v>34</v>
      </c>
      <c r="P307" t="str">
        <f t="shared" si="41"/>
        <v>Python</v>
      </c>
      <c r="Q307">
        <v>6</v>
      </c>
      <c r="R307">
        <v>3</v>
      </c>
      <c r="S307">
        <v>9</v>
      </c>
      <c r="T307">
        <v>5</v>
      </c>
      <c r="U307">
        <v>8</v>
      </c>
      <c r="V307">
        <v>8</v>
      </c>
      <c r="W307" t="s">
        <v>85</v>
      </c>
      <c r="X307" t="s">
        <v>36</v>
      </c>
      <c r="Y307" t="s">
        <v>65</v>
      </c>
      <c r="Z307">
        <v>38</v>
      </c>
      <c r="AA307" t="s">
        <v>38</v>
      </c>
      <c r="AB307" t="str">
        <f t="shared" si="42"/>
        <v>United States</v>
      </c>
      <c r="AC307" t="s">
        <v>240</v>
      </c>
      <c r="AD307" t="str">
        <f t="shared" si="43"/>
        <v>Masters</v>
      </c>
      <c r="AE307" t="s">
        <v>39</v>
      </c>
      <c r="AF307" t="str">
        <f t="shared" si="44"/>
        <v>White or Caucasian</v>
      </c>
    </row>
    <row r="308" spans="1:32" x14ac:dyDescent="0.45">
      <c r="A308" t="s">
        <v>976</v>
      </c>
      <c r="B308" t="s">
        <v>25</v>
      </c>
      <c r="C308" s="3" t="s">
        <v>26</v>
      </c>
      <c r="D308" s="3">
        <f t="shared" si="36"/>
        <v>44840</v>
      </c>
      <c r="E308" t="s">
        <v>977</v>
      </c>
      <c r="F308" s="4">
        <f t="shared" si="37"/>
        <v>0.75347222222222221</v>
      </c>
      <c r="G308" t="s">
        <v>425</v>
      </c>
      <c r="H308" t="s">
        <v>78</v>
      </c>
      <c r="I308" t="str">
        <f t="shared" si="38"/>
        <v>Other</v>
      </c>
      <c r="J308" t="s">
        <v>31</v>
      </c>
      <c r="K308" t="s">
        <v>53</v>
      </c>
      <c r="L308">
        <f t="shared" si="39"/>
        <v>20</v>
      </c>
      <c r="M308" t="s">
        <v>978</v>
      </c>
      <c r="N308" t="str">
        <f t="shared" si="40"/>
        <v>Other</v>
      </c>
      <c r="O308" t="s">
        <v>84</v>
      </c>
      <c r="P308" t="str">
        <f t="shared" si="41"/>
        <v>Other</v>
      </c>
      <c r="Q308">
        <v>0</v>
      </c>
      <c r="R308">
        <v>3</v>
      </c>
      <c r="S308">
        <v>3</v>
      </c>
      <c r="T308">
        <v>3</v>
      </c>
      <c r="U308">
        <v>4</v>
      </c>
      <c r="V308">
        <v>4</v>
      </c>
      <c r="W308" t="s">
        <v>85</v>
      </c>
      <c r="X308" t="s">
        <v>70</v>
      </c>
      <c r="Y308" t="s">
        <v>65</v>
      </c>
      <c r="Z308">
        <v>20</v>
      </c>
      <c r="AA308" t="s">
        <v>419</v>
      </c>
      <c r="AB308" t="str">
        <f t="shared" si="42"/>
        <v>Other</v>
      </c>
      <c r="AC308" t="s">
        <v>227</v>
      </c>
      <c r="AD308" t="str">
        <f t="shared" si="43"/>
        <v>High School</v>
      </c>
      <c r="AE308" t="s">
        <v>58</v>
      </c>
      <c r="AF308" t="str">
        <f t="shared" si="44"/>
        <v>Black or African American</v>
      </c>
    </row>
    <row r="309" spans="1:32" x14ac:dyDescent="0.45">
      <c r="A309" t="s">
        <v>979</v>
      </c>
      <c r="B309" t="s">
        <v>25</v>
      </c>
      <c r="C309" s="3" t="s">
        <v>26</v>
      </c>
      <c r="D309" s="3">
        <f t="shared" si="36"/>
        <v>44840</v>
      </c>
      <c r="E309" t="s">
        <v>980</v>
      </c>
      <c r="F309" s="4">
        <f t="shared" si="37"/>
        <v>0.7583333333333333</v>
      </c>
      <c r="G309" t="s">
        <v>265</v>
      </c>
      <c r="H309" t="s">
        <v>30</v>
      </c>
      <c r="I309" t="str">
        <f t="shared" si="38"/>
        <v>Data Analyst</v>
      </c>
      <c r="J309" t="s">
        <v>43</v>
      </c>
      <c r="K309" t="s">
        <v>94</v>
      </c>
      <c r="L309">
        <f t="shared" si="39"/>
        <v>75.5</v>
      </c>
      <c r="M309" t="s">
        <v>108</v>
      </c>
      <c r="N309" t="str">
        <f t="shared" si="40"/>
        <v>Education</v>
      </c>
      <c r="O309" t="s">
        <v>84</v>
      </c>
      <c r="P309" t="str">
        <f t="shared" si="41"/>
        <v>Other</v>
      </c>
      <c r="Q309">
        <v>4</v>
      </c>
      <c r="R309">
        <v>6</v>
      </c>
      <c r="S309">
        <v>7</v>
      </c>
      <c r="T309">
        <v>7</v>
      </c>
      <c r="U309">
        <v>2</v>
      </c>
      <c r="V309">
        <v>2</v>
      </c>
      <c r="W309" t="s">
        <v>85</v>
      </c>
      <c r="X309" t="s">
        <v>36</v>
      </c>
      <c r="Y309" t="s">
        <v>65</v>
      </c>
      <c r="Z309">
        <v>45</v>
      </c>
      <c r="AA309" t="s">
        <v>38</v>
      </c>
      <c r="AB309" t="str">
        <f t="shared" si="42"/>
        <v>United States</v>
      </c>
      <c r="AC309" t="s">
        <v>240</v>
      </c>
      <c r="AD309" t="str">
        <f t="shared" si="43"/>
        <v>Masters</v>
      </c>
      <c r="AE309" t="s">
        <v>58</v>
      </c>
      <c r="AF309" t="str">
        <f t="shared" si="44"/>
        <v>Black or African American</v>
      </c>
    </row>
    <row r="310" spans="1:32" x14ac:dyDescent="0.45">
      <c r="A310" t="s">
        <v>981</v>
      </c>
      <c r="B310" t="s">
        <v>25</v>
      </c>
      <c r="C310" s="3" t="s">
        <v>26</v>
      </c>
      <c r="D310" s="3">
        <f t="shared" si="36"/>
        <v>44840</v>
      </c>
      <c r="E310" t="s">
        <v>982</v>
      </c>
      <c r="F310" s="4">
        <f t="shared" si="37"/>
        <v>0.76180555555555551</v>
      </c>
      <c r="G310" t="s">
        <v>239</v>
      </c>
      <c r="H310" t="s">
        <v>30</v>
      </c>
      <c r="I310" t="str">
        <f t="shared" si="38"/>
        <v>Data Analyst</v>
      </c>
      <c r="J310" t="s">
        <v>43</v>
      </c>
      <c r="K310" t="s">
        <v>87</v>
      </c>
      <c r="L310">
        <f t="shared" si="39"/>
        <v>95.5</v>
      </c>
      <c r="M310" t="s">
        <v>779</v>
      </c>
      <c r="N310" t="str">
        <f t="shared" si="40"/>
        <v>Other</v>
      </c>
      <c r="O310" t="s">
        <v>34</v>
      </c>
      <c r="P310" t="str">
        <f t="shared" si="41"/>
        <v>Python</v>
      </c>
      <c r="Q310">
        <v>5</v>
      </c>
      <c r="R310">
        <v>3</v>
      </c>
      <c r="S310">
        <v>5</v>
      </c>
      <c r="T310">
        <v>6</v>
      </c>
      <c r="U310">
        <v>6</v>
      </c>
      <c r="V310">
        <v>4</v>
      </c>
      <c r="W310" t="s">
        <v>69</v>
      </c>
      <c r="X310" t="s">
        <v>56</v>
      </c>
      <c r="Y310" t="s">
        <v>37</v>
      </c>
      <c r="Z310">
        <v>27</v>
      </c>
      <c r="AA310" t="s">
        <v>47</v>
      </c>
      <c r="AB310" t="str">
        <f t="shared" si="42"/>
        <v>Canada</v>
      </c>
      <c r="AC310" t="s">
        <v>240</v>
      </c>
      <c r="AD310" t="str">
        <f t="shared" si="43"/>
        <v>Masters</v>
      </c>
      <c r="AE310" t="s">
        <v>983</v>
      </c>
      <c r="AF310" t="str">
        <f t="shared" si="44"/>
        <v>Other</v>
      </c>
    </row>
    <row r="311" spans="1:32" x14ac:dyDescent="0.45">
      <c r="A311" t="s">
        <v>984</v>
      </c>
      <c r="B311" t="s">
        <v>25</v>
      </c>
      <c r="C311" s="3" t="s">
        <v>26</v>
      </c>
      <c r="D311" s="3">
        <f t="shared" si="36"/>
        <v>44840</v>
      </c>
      <c r="E311" t="s">
        <v>985</v>
      </c>
      <c r="F311" s="4">
        <f t="shared" si="37"/>
        <v>0.76597222222222228</v>
      </c>
      <c r="G311" t="s">
        <v>690</v>
      </c>
      <c r="H311" t="s">
        <v>30</v>
      </c>
      <c r="I311" t="str">
        <f t="shared" si="38"/>
        <v>Data Analyst</v>
      </c>
      <c r="J311" t="s">
        <v>31</v>
      </c>
      <c r="K311" t="s">
        <v>44</v>
      </c>
      <c r="L311">
        <f t="shared" si="39"/>
        <v>53</v>
      </c>
      <c r="M311" t="s">
        <v>447</v>
      </c>
      <c r="N311" t="str">
        <f t="shared" si="40"/>
        <v>Other</v>
      </c>
      <c r="O311" t="s">
        <v>34</v>
      </c>
      <c r="P311" t="str">
        <f t="shared" si="41"/>
        <v>Python</v>
      </c>
      <c r="Q311">
        <v>3</v>
      </c>
      <c r="R311">
        <v>7</v>
      </c>
      <c r="S311">
        <v>7</v>
      </c>
      <c r="T311">
        <v>7</v>
      </c>
      <c r="U311">
        <v>7</v>
      </c>
      <c r="V311">
        <v>6</v>
      </c>
      <c r="W311" t="s">
        <v>69</v>
      </c>
      <c r="X311" t="s">
        <v>114</v>
      </c>
      <c r="Y311" t="s">
        <v>37</v>
      </c>
      <c r="Z311">
        <v>28</v>
      </c>
      <c r="AA311" t="s">
        <v>47</v>
      </c>
      <c r="AB311" t="str">
        <f t="shared" si="42"/>
        <v>Canada</v>
      </c>
      <c r="AC311" t="s">
        <v>240</v>
      </c>
      <c r="AD311" t="str">
        <f t="shared" si="43"/>
        <v>Masters</v>
      </c>
      <c r="AE311" t="s">
        <v>48</v>
      </c>
      <c r="AF311" t="str">
        <f t="shared" si="44"/>
        <v>Asian or Asian American</v>
      </c>
    </row>
    <row r="312" spans="1:32" x14ac:dyDescent="0.45">
      <c r="A312" t="s">
        <v>986</v>
      </c>
      <c r="B312" t="s">
        <v>25</v>
      </c>
      <c r="C312" s="3" t="s">
        <v>26</v>
      </c>
      <c r="D312" s="3">
        <f t="shared" si="36"/>
        <v>44840</v>
      </c>
      <c r="E312" t="s">
        <v>987</v>
      </c>
      <c r="F312" s="4">
        <f t="shared" si="37"/>
        <v>0.77083333333333337</v>
      </c>
      <c r="G312" t="s">
        <v>836</v>
      </c>
      <c r="H312" t="s">
        <v>123</v>
      </c>
      <c r="I312" t="str">
        <f t="shared" si="38"/>
        <v>None</v>
      </c>
      <c r="J312" t="s">
        <v>31</v>
      </c>
      <c r="K312" t="s">
        <v>53</v>
      </c>
      <c r="L312">
        <f t="shared" si="39"/>
        <v>20</v>
      </c>
      <c r="M312" t="s">
        <v>988</v>
      </c>
      <c r="N312" t="str">
        <f t="shared" si="40"/>
        <v>Other</v>
      </c>
      <c r="O312" t="s">
        <v>46</v>
      </c>
      <c r="P312" t="str">
        <f t="shared" si="41"/>
        <v>R</v>
      </c>
      <c r="Q312">
        <v>2</v>
      </c>
      <c r="R312">
        <v>10</v>
      </c>
      <c r="S312">
        <v>10</v>
      </c>
      <c r="T312">
        <v>10</v>
      </c>
      <c r="U312">
        <v>10</v>
      </c>
      <c r="V312">
        <v>3</v>
      </c>
      <c r="W312" t="s">
        <v>85</v>
      </c>
      <c r="X312" t="s">
        <v>36</v>
      </c>
      <c r="Y312" t="s">
        <v>65</v>
      </c>
      <c r="Z312">
        <v>29</v>
      </c>
      <c r="AA312" t="s">
        <v>267</v>
      </c>
      <c r="AB312" t="str">
        <f t="shared" si="42"/>
        <v>Other</v>
      </c>
      <c r="AC312" t="s">
        <v>237</v>
      </c>
      <c r="AD312" t="str">
        <f t="shared" si="43"/>
        <v>Bachelors</v>
      </c>
      <c r="AE312" t="s">
        <v>989</v>
      </c>
      <c r="AF312" t="str">
        <f t="shared" si="44"/>
        <v>Other</v>
      </c>
    </row>
    <row r="313" spans="1:32" x14ac:dyDescent="0.45">
      <c r="A313" t="s">
        <v>990</v>
      </c>
      <c r="B313" t="s">
        <v>25</v>
      </c>
      <c r="C313" s="3" t="s">
        <v>26</v>
      </c>
      <c r="D313" s="3">
        <f t="shared" si="36"/>
        <v>44840</v>
      </c>
      <c r="E313" t="s">
        <v>991</v>
      </c>
      <c r="F313" s="4">
        <f t="shared" si="37"/>
        <v>0.77638888888888891</v>
      </c>
      <c r="G313" t="s">
        <v>229</v>
      </c>
      <c r="H313" t="s">
        <v>992</v>
      </c>
      <c r="I313" t="str">
        <f t="shared" si="38"/>
        <v>Other</v>
      </c>
      <c r="J313" t="s">
        <v>43</v>
      </c>
      <c r="K313" t="s">
        <v>44</v>
      </c>
      <c r="L313">
        <f t="shared" si="39"/>
        <v>53</v>
      </c>
      <c r="M313" t="s">
        <v>103</v>
      </c>
      <c r="N313" t="str">
        <f t="shared" si="40"/>
        <v>Tech</v>
      </c>
      <c r="O313" t="s">
        <v>257</v>
      </c>
      <c r="P313" t="str">
        <f t="shared" si="41"/>
        <v>C/C++</v>
      </c>
      <c r="Q313">
        <v>7</v>
      </c>
      <c r="R313">
        <v>7</v>
      </c>
      <c r="S313">
        <v>7</v>
      </c>
      <c r="T313">
        <v>7</v>
      </c>
      <c r="U313">
        <v>7</v>
      </c>
      <c r="V313">
        <v>7</v>
      </c>
      <c r="W313" t="s">
        <v>85</v>
      </c>
      <c r="X313" t="s">
        <v>70</v>
      </c>
      <c r="Y313" t="s">
        <v>65</v>
      </c>
      <c r="Z313">
        <v>43</v>
      </c>
      <c r="AA313" t="s">
        <v>565</v>
      </c>
      <c r="AB313" t="str">
        <f t="shared" si="42"/>
        <v>Other</v>
      </c>
      <c r="AC313" t="s">
        <v>227</v>
      </c>
      <c r="AD313" t="str">
        <f t="shared" si="43"/>
        <v>High School</v>
      </c>
      <c r="AE313" t="s">
        <v>48</v>
      </c>
      <c r="AF313" t="str">
        <f t="shared" si="44"/>
        <v>Asian or Asian American</v>
      </c>
    </row>
    <row r="314" spans="1:32" x14ac:dyDescent="0.45">
      <c r="A314" t="s">
        <v>993</v>
      </c>
      <c r="B314" t="s">
        <v>25</v>
      </c>
      <c r="C314" s="3" t="s">
        <v>26</v>
      </c>
      <c r="D314" s="3">
        <f t="shared" si="36"/>
        <v>44840</v>
      </c>
      <c r="E314" t="s">
        <v>994</v>
      </c>
      <c r="F314" s="4">
        <f t="shared" si="37"/>
        <v>0.77777777777777779</v>
      </c>
      <c r="G314" t="s">
        <v>813</v>
      </c>
      <c r="H314" t="s">
        <v>30</v>
      </c>
      <c r="I314" t="str">
        <f t="shared" si="38"/>
        <v>Data Analyst</v>
      </c>
      <c r="J314" t="s">
        <v>31</v>
      </c>
      <c r="K314" t="s">
        <v>53</v>
      </c>
      <c r="L314">
        <f t="shared" si="39"/>
        <v>20</v>
      </c>
      <c r="M314" t="s">
        <v>45</v>
      </c>
      <c r="N314" t="str">
        <f t="shared" si="40"/>
        <v>Finance</v>
      </c>
      <c r="O314" t="s">
        <v>34</v>
      </c>
      <c r="P314" t="str">
        <f t="shared" si="41"/>
        <v>Python</v>
      </c>
      <c r="Q314">
        <v>0</v>
      </c>
      <c r="R314">
        <v>5</v>
      </c>
      <c r="S314">
        <v>9</v>
      </c>
      <c r="T314">
        <v>9</v>
      </c>
      <c r="U314">
        <v>0</v>
      </c>
      <c r="V314">
        <v>10</v>
      </c>
      <c r="W314" t="s">
        <v>85</v>
      </c>
      <c r="X314" t="s">
        <v>36</v>
      </c>
      <c r="Y314" t="s">
        <v>37</v>
      </c>
      <c r="Z314">
        <v>26</v>
      </c>
      <c r="AA314" t="s">
        <v>995</v>
      </c>
      <c r="AB314" t="str">
        <f t="shared" si="42"/>
        <v>Other</v>
      </c>
      <c r="AC314" t="s">
        <v>237</v>
      </c>
      <c r="AD314" t="str">
        <f t="shared" si="43"/>
        <v>Bachelors</v>
      </c>
      <c r="AE314" t="s">
        <v>58</v>
      </c>
      <c r="AF314" t="str">
        <f t="shared" si="44"/>
        <v>Black or African American</v>
      </c>
    </row>
    <row r="315" spans="1:32" x14ac:dyDescent="0.45">
      <c r="A315" t="s">
        <v>996</v>
      </c>
      <c r="B315" t="s">
        <v>25</v>
      </c>
      <c r="C315" s="3" t="s">
        <v>26</v>
      </c>
      <c r="D315" s="3">
        <f t="shared" si="36"/>
        <v>44840</v>
      </c>
      <c r="E315" t="s">
        <v>997</v>
      </c>
      <c r="F315" s="4">
        <f t="shared" si="37"/>
        <v>0.78333333333333333</v>
      </c>
      <c r="G315" t="s">
        <v>998</v>
      </c>
      <c r="H315" t="s">
        <v>123</v>
      </c>
      <c r="I315" t="str">
        <f t="shared" si="38"/>
        <v>None</v>
      </c>
      <c r="J315" t="s">
        <v>43</v>
      </c>
      <c r="K315" t="s">
        <v>44</v>
      </c>
      <c r="L315">
        <f t="shared" si="39"/>
        <v>53</v>
      </c>
      <c r="M315" t="s">
        <v>103</v>
      </c>
      <c r="N315" t="str">
        <f t="shared" si="40"/>
        <v>Tech</v>
      </c>
      <c r="O315" t="s">
        <v>84</v>
      </c>
      <c r="P315" t="str">
        <f t="shared" si="41"/>
        <v>Other</v>
      </c>
      <c r="Q315">
        <v>7</v>
      </c>
      <c r="R315">
        <v>8</v>
      </c>
      <c r="S315">
        <v>7</v>
      </c>
      <c r="T315">
        <v>7</v>
      </c>
      <c r="U315">
        <v>8</v>
      </c>
      <c r="V315">
        <v>7</v>
      </c>
      <c r="W315" t="s">
        <v>85</v>
      </c>
      <c r="X315" t="s">
        <v>999</v>
      </c>
      <c r="Y315" t="s">
        <v>65</v>
      </c>
      <c r="Z315">
        <v>47</v>
      </c>
      <c r="AA315" t="s">
        <v>38</v>
      </c>
      <c r="AB315" t="str">
        <f t="shared" si="42"/>
        <v>United States</v>
      </c>
      <c r="AC315" t="s">
        <v>237</v>
      </c>
      <c r="AD315" t="str">
        <f t="shared" si="43"/>
        <v>Bachelors</v>
      </c>
      <c r="AE315" t="s">
        <v>58</v>
      </c>
      <c r="AF315" t="str">
        <f t="shared" si="44"/>
        <v>Black or African American</v>
      </c>
    </row>
    <row r="316" spans="1:32" x14ac:dyDescent="0.45">
      <c r="A316" t="s">
        <v>1000</v>
      </c>
      <c r="B316" t="s">
        <v>25</v>
      </c>
      <c r="C316" s="3" t="s">
        <v>26</v>
      </c>
      <c r="D316" s="3">
        <f t="shared" si="36"/>
        <v>44840</v>
      </c>
      <c r="E316" t="s">
        <v>1001</v>
      </c>
      <c r="F316" s="4">
        <f t="shared" si="37"/>
        <v>0.78541666666666665</v>
      </c>
      <c r="G316" t="s">
        <v>825</v>
      </c>
      <c r="H316" t="s">
        <v>123</v>
      </c>
      <c r="I316" t="str">
        <f t="shared" si="38"/>
        <v>None</v>
      </c>
      <c r="J316" t="s">
        <v>31</v>
      </c>
      <c r="K316" t="s">
        <v>53</v>
      </c>
      <c r="L316">
        <f t="shared" si="39"/>
        <v>20</v>
      </c>
      <c r="M316" t="s">
        <v>45</v>
      </c>
      <c r="N316" t="str">
        <f t="shared" si="40"/>
        <v>Finance</v>
      </c>
      <c r="O316" t="s">
        <v>34</v>
      </c>
      <c r="P316" t="str">
        <f t="shared" si="41"/>
        <v>Python</v>
      </c>
      <c r="Q316" t="s">
        <v>28</v>
      </c>
      <c r="R316" t="s">
        <v>28</v>
      </c>
      <c r="S316" t="s">
        <v>28</v>
      </c>
      <c r="T316">
        <v>8</v>
      </c>
      <c r="U316">
        <v>10</v>
      </c>
      <c r="V316">
        <v>10</v>
      </c>
      <c r="W316" t="s">
        <v>55</v>
      </c>
      <c r="X316" t="s">
        <v>36</v>
      </c>
      <c r="Y316" t="s">
        <v>37</v>
      </c>
      <c r="Z316">
        <v>23</v>
      </c>
      <c r="AA316" t="s">
        <v>419</v>
      </c>
      <c r="AB316" t="str">
        <f t="shared" si="42"/>
        <v>Other</v>
      </c>
      <c r="AC316" t="s">
        <v>237</v>
      </c>
      <c r="AD316" t="str">
        <f t="shared" si="43"/>
        <v>Bachelors</v>
      </c>
      <c r="AE316" t="s">
        <v>58</v>
      </c>
      <c r="AF316" t="str">
        <f t="shared" si="44"/>
        <v>Black or African American</v>
      </c>
    </row>
    <row r="317" spans="1:32" x14ac:dyDescent="0.45">
      <c r="A317" t="s">
        <v>1002</v>
      </c>
      <c r="B317" t="s">
        <v>25</v>
      </c>
      <c r="C317" s="3" t="s">
        <v>26</v>
      </c>
      <c r="D317" s="3">
        <f t="shared" si="36"/>
        <v>44840</v>
      </c>
      <c r="E317" t="s">
        <v>1003</v>
      </c>
      <c r="F317" s="4">
        <f t="shared" si="37"/>
        <v>0.78819444444444442</v>
      </c>
      <c r="G317" t="s">
        <v>154</v>
      </c>
      <c r="H317" t="s">
        <v>30</v>
      </c>
      <c r="I317" t="str">
        <f t="shared" si="38"/>
        <v>Data Analyst</v>
      </c>
      <c r="J317" t="s">
        <v>31</v>
      </c>
      <c r="K317" t="s">
        <v>53</v>
      </c>
      <c r="L317">
        <f t="shared" si="39"/>
        <v>20</v>
      </c>
      <c r="M317" t="s">
        <v>103</v>
      </c>
      <c r="N317" t="str">
        <f t="shared" si="40"/>
        <v>Tech</v>
      </c>
      <c r="O317" t="s">
        <v>34</v>
      </c>
      <c r="P317" t="str">
        <f t="shared" si="41"/>
        <v>Python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2</v>
      </c>
      <c r="W317" t="s">
        <v>35</v>
      </c>
      <c r="X317" t="s">
        <v>70</v>
      </c>
      <c r="Y317" t="s">
        <v>37</v>
      </c>
      <c r="Z317">
        <v>25</v>
      </c>
      <c r="AA317" t="s">
        <v>444</v>
      </c>
      <c r="AB317" t="str">
        <f t="shared" si="42"/>
        <v>Other</v>
      </c>
      <c r="AC317" t="s">
        <v>237</v>
      </c>
      <c r="AD317" t="str">
        <f t="shared" si="43"/>
        <v>Bachelors</v>
      </c>
      <c r="AE317" t="s">
        <v>1004</v>
      </c>
      <c r="AF317" t="str">
        <f t="shared" si="44"/>
        <v>Other</v>
      </c>
    </row>
    <row r="318" spans="1:32" x14ac:dyDescent="0.45">
      <c r="A318" t="s">
        <v>1005</v>
      </c>
      <c r="B318" t="s">
        <v>25</v>
      </c>
      <c r="C318" s="3" t="s">
        <v>26</v>
      </c>
      <c r="D318" s="3">
        <f t="shared" si="36"/>
        <v>44840</v>
      </c>
      <c r="E318" t="s">
        <v>1006</v>
      </c>
      <c r="F318" s="4">
        <f t="shared" si="37"/>
        <v>0.7944444444444444</v>
      </c>
      <c r="G318" t="s">
        <v>371</v>
      </c>
      <c r="H318" t="s">
        <v>1007</v>
      </c>
      <c r="I318" t="str">
        <f t="shared" si="38"/>
        <v>Other</v>
      </c>
      <c r="J318" t="s">
        <v>43</v>
      </c>
      <c r="K318" t="s">
        <v>53</v>
      </c>
      <c r="L318">
        <f t="shared" si="39"/>
        <v>20</v>
      </c>
      <c r="M318" t="s">
        <v>45</v>
      </c>
      <c r="N318" t="str">
        <f t="shared" si="40"/>
        <v>Finance</v>
      </c>
      <c r="O318" t="s">
        <v>34</v>
      </c>
      <c r="P318" t="str">
        <f t="shared" si="41"/>
        <v>Python</v>
      </c>
      <c r="Q318">
        <v>6</v>
      </c>
      <c r="R318">
        <v>6</v>
      </c>
      <c r="S318">
        <v>3</v>
      </c>
      <c r="T318">
        <v>7</v>
      </c>
      <c r="U318">
        <v>2</v>
      </c>
      <c r="V318">
        <v>4</v>
      </c>
      <c r="W318" t="s">
        <v>35</v>
      </c>
      <c r="X318" t="s">
        <v>1008</v>
      </c>
      <c r="Y318" t="s">
        <v>37</v>
      </c>
      <c r="Z318">
        <v>32</v>
      </c>
      <c r="AA318" t="s">
        <v>500</v>
      </c>
      <c r="AB318" t="str">
        <f t="shared" si="42"/>
        <v>Other</v>
      </c>
      <c r="AC318" t="s">
        <v>240</v>
      </c>
      <c r="AD318" t="str">
        <f t="shared" si="43"/>
        <v>Masters</v>
      </c>
      <c r="AE318" t="s">
        <v>39</v>
      </c>
      <c r="AF318" t="str">
        <f t="shared" si="44"/>
        <v>White or Caucasian</v>
      </c>
    </row>
    <row r="319" spans="1:32" x14ac:dyDescent="0.45">
      <c r="A319" t="s">
        <v>1009</v>
      </c>
      <c r="B319" t="s">
        <v>25</v>
      </c>
      <c r="C319" s="3" t="s">
        <v>26</v>
      </c>
      <c r="D319" s="3">
        <f t="shared" si="36"/>
        <v>44840</v>
      </c>
      <c r="E319" t="s">
        <v>1010</v>
      </c>
      <c r="F319" s="4">
        <f t="shared" si="37"/>
        <v>0.8</v>
      </c>
      <c r="G319" t="s">
        <v>275</v>
      </c>
      <c r="H319" t="s">
        <v>30</v>
      </c>
      <c r="I319" t="str">
        <f t="shared" si="38"/>
        <v>Data Analyst</v>
      </c>
      <c r="J319" t="s">
        <v>31</v>
      </c>
      <c r="K319" t="s">
        <v>53</v>
      </c>
      <c r="L319">
        <f t="shared" si="39"/>
        <v>20</v>
      </c>
      <c r="M319" t="s">
        <v>45</v>
      </c>
      <c r="N319" t="str">
        <f t="shared" si="40"/>
        <v>Finance</v>
      </c>
      <c r="O319" t="s">
        <v>34</v>
      </c>
      <c r="P319" t="str">
        <f t="shared" si="41"/>
        <v>Python</v>
      </c>
      <c r="Q319">
        <v>1</v>
      </c>
      <c r="R319">
        <v>10</v>
      </c>
      <c r="S319">
        <v>10</v>
      </c>
      <c r="T319">
        <v>5</v>
      </c>
      <c r="U319">
        <v>3</v>
      </c>
      <c r="V319">
        <v>1</v>
      </c>
      <c r="W319" t="s">
        <v>85</v>
      </c>
      <c r="X319" t="s">
        <v>70</v>
      </c>
      <c r="Y319" t="s">
        <v>65</v>
      </c>
      <c r="Z319">
        <v>25</v>
      </c>
      <c r="AA319" t="s">
        <v>38</v>
      </c>
      <c r="AB319" t="str">
        <f t="shared" si="42"/>
        <v>United States</v>
      </c>
      <c r="AC319" t="s">
        <v>237</v>
      </c>
      <c r="AD319" t="str">
        <f t="shared" si="43"/>
        <v>Bachelors</v>
      </c>
      <c r="AE319" t="s">
        <v>39</v>
      </c>
      <c r="AF319" t="str">
        <f t="shared" si="44"/>
        <v>White or Caucasian</v>
      </c>
    </row>
    <row r="320" spans="1:32" x14ac:dyDescent="0.45">
      <c r="A320" t="s">
        <v>1011</v>
      </c>
      <c r="B320" t="s">
        <v>25</v>
      </c>
      <c r="C320" s="3" t="s">
        <v>26</v>
      </c>
      <c r="D320" s="3">
        <f t="shared" si="36"/>
        <v>44840</v>
      </c>
      <c r="E320" t="s">
        <v>1012</v>
      </c>
      <c r="F320" s="4">
        <f t="shared" si="37"/>
        <v>0.80694444444444446</v>
      </c>
      <c r="G320" t="s">
        <v>654</v>
      </c>
      <c r="H320" t="s">
        <v>30</v>
      </c>
      <c r="I320" t="str">
        <f t="shared" si="38"/>
        <v>Data Analyst</v>
      </c>
      <c r="J320" t="s">
        <v>43</v>
      </c>
      <c r="K320" t="s">
        <v>53</v>
      </c>
      <c r="L320">
        <f t="shared" si="39"/>
        <v>20</v>
      </c>
      <c r="M320" t="s">
        <v>45</v>
      </c>
      <c r="N320" t="str">
        <f t="shared" si="40"/>
        <v>Finance</v>
      </c>
      <c r="O320" t="s">
        <v>34</v>
      </c>
      <c r="P320" t="str">
        <f t="shared" si="41"/>
        <v>Python</v>
      </c>
      <c r="Q320">
        <v>1</v>
      </c>
      <c r="R320">
        <v>2</v>
      </c>
      <c r="S320">
        <v>10</v>
      </c>
      <c r="T320">
        <v>1</v>
      </c>
      <c r="U320">
        <v>2</v>
      </c>
      <c r="V320">
        <v>8</v>
      </c>
      <c r="W320" t="s">
        <v>69</v>
      </c>
      <c r="X320" t="s">
        <v>36</v>
      </c>
      <c r="Y320" t="s">
        <v>65</v>
      </c>
      <c r="Z320">
        <v>29</v>
      </c>
      <c r="AA320" t="s">
        <v>1013</v>
      </c>
      <c r="AB320" t="str">
        <f t="shared" si="42"/>
        <v>Other</v>
      </c>
      <c r="AC320" t="s">
        <v>237</v>
      </c>
      <c r="AD320" t="str">
        <f t="shared" si="43"/>
        <v>Bachelors</v>
      </c>
      <c r="AE320" t="s">
        <v>91</v>
      </c>
      <c r="AF320" t="str">
        <f t="shared" si="44"/>
        <v>Hispanic or Latino</v>
      </c>
    </row>
    <row r="321" spans="1:32" x14ac:dyDescent="0.45">
      <c r="A321" t="s">
        <v>1014</v>
      </c>
      <c r="B321" t="s">
        <v>25</v>
      </c>
      <c r="C321" s="3" t="s">
        <v>26</v>
      </c>
      <c r="D321" s="3">
        <f t="shared" si="36"/>
        <v>44840</v>
      </c>
      <c r="E321" t="s">
        <v>1015</v>
      </c>
      <c r="F321" s="4">
        <f t="shared" si="37"/>
        <v>0.81041666666666667</v>
      </c>
      <c r="G321" t="s">
        <v>215</v>
      </c>
      <c r="H321" t="s">
        <v>30</v>
      </c>
      <c r="I321" t="str">
        <f t="shared" si="38"/>
        <v>Data Analyst</v>
      </c>
      <c r="J321" t="s">
        <v>43</v>
      </c>
      <c r="K321" t="s">
        <v>44</v>
      </c>
      <c r="L321">
        <f t="shared" si="39"/>
        <v>53</v>
      </c>
      <c r="M321" t="s">
        <v>33</v>
      </c>
      <c r="N321" t="str">
        <f t="shared" si="40"/>
        <v>Healthcare</v>
      </c>
      <c r="O321" t="s">
        <v>84</v>
      </c>
      <c r="P321" t="str">
        <f t="shared" si="41"/>
        <v>Other</v>
      </c>
      <c r="Q321">
        <v>3</v>
      </c>
      <c r="R321">
        <v>7</v>
      </c>
      <c r="S321">
        <v>5</v>
      </c>
      <c r="T321">
        <v>5</v>
      </c>
      <c r="U321">
        <v>3</v>
      </c>
      <c r="V321">
        <v>3</v>
      </c>
      <c r="W321" t="s">
        <v>85</v>
      </c>
      <c r="X321" t="s">
        <v>70</v>
      </c>
      <c r="Y321" t="s">
        <v>65</v>
      </c>
      <c r="Z321">
        <v>33</v>
      </c>
      <c r="AA321" t="s">
        <v>38</v>
      </c>
      <c r="AB321" t="str">
        <f t="shared" si="42"/>
        <v>United States</v>
      </c>
      <c r="AC321" t="s">
        <v>237</v>
      </c>
      <c r="AD321" t="str">
        <f t="shared" si="43"/>
        <v>Bachelors</v>
      </c>
      <c r="AE321" t="s">
        <v>48</v>
      </c>
      <c r="AF321" t="str">
        <f t="shared" si="44"/>
        <v>Asian or Asian American</v>
      </c>
    </row>
    <row r="322" spans="1:32" x14ac:dyDescent="0.45">
      <c r="A322" t="s">
        <v>1016</v>
      </c>
      <c r="B322" t="s">
        <v>25</v>
      </c>
      <c r="C322" s="3" t="s">
        <v>26</v>
      </c>
      <c r="D322" s="3">
        <f t="shared" si="36"/>
        <v>44840</v>
      </c>
      <c r="E322" t="s">
        <v>1017</v>
      </c>
      <c r="F322" s="4">
        <f t="shared" si="37"/>
        <v>0.82638888888888884</v>
      </c>
      <c r="G322" t="s">
        <v>1018</v>
      </c>
      <c r="H322" t="s">
        <v>30</v>
      </c>
      <c r="I322" t="str">
        <f t="shared" si="38"/>
        <v>Data Analyst</v>
      </c>
      <c r="J322" t="s">
        <v>43</v>
      </c>
      <c r="K322" t="s">
        <v>32</v>
      </c>
      <c r="L322">
        <f t="shared" si="39"/>
        <v>115.5</v>
      </c>
      <c r="M322" t="s">
        <v>108</v>
      </c>
      <c r="N322" t="str">
        <f t="shared" si="40"/>
        <v>Education</v>
      </c>
      <c r="O322" t="s">
        <v>34</v>
      </c>
      <c r="P322" t="str">
        <f t="shared" si="41"/>
        <v>Python</v>
      </c>
      <c r="Q322">
        <v>6</v>
      </c>
      <c r="R322">
        <v>10</v>
      </c>
      <c r="S322">
        <v>10</v>
      </c>
      <c r="T322">
        <v>10</v>
      </c>
      <c r="U322">
        <v>7</v>
      </c>
      <c r="V322">
        <v>6</v>
      </c>
      <c r="W322" t="s">
        <v>55</v>
      </c>
      <c r="X322" t="s">
        <v>1019</v>
      </c>
      <c r="Y322" t="s">
        <v>37</v>
      </c>
      <c r="Z322">
        <v>36</v>
      </c>
      <c r="AA322" t="s">
        <v>38</v>
      </c>
      <c r="AB322" t="str">
        <f t="shared" si="42"/>
        <v>United States</v>
      </c>
      <c r="AC322" t="s">
        <v>240</v>
      </c>
      <c r="AD322" t="str">
        <f t="shared" si="43"/>
        <v>Masters</v>
      </c>
      <c r="AE322" t="s">
        <v>48</v>
      </c>
      <c r="AF322" t="str">
        <f t="shared" si="44"/>
        <v>Asian or Asian American</v>
      </c>
    </row>
    <row r="323" spans="1:32" x14ac:dyDescent="0.45">
      <c r="A323" t="s">
        <v>1020</v>
      </c>
      <c r="B323" t="s">
        <v>25</v>
      </c>
      <c r="C323" s="3" t="s">
        <v>26</v>
      </c>
      <c r="D323" s="3">
        <f t="shared" ref="D323:D386" si="45">DATEVALUE(C323)</f>
        <v>44840</v>
      </c>
      <c r="E323" t="s">
        <v>1021</v>
      </c>
      <c r="F323" s="4">
        <f t="shared" ref="F323:F386" si="46">TIMEVALUE(E323)</f>
        <v>0.82847222222222228</v>
      </c>
      <c r="G323" t="s">
        <v>317</v>
      </c>
      <c r="H323" t="s">
        <v>30</v>
      </c>
      <c r="I323" t="str">
        <f t="shared" ref="I323:I386" si="47">IF(LEFT(H323,5)="Other","Other",IF(ISNUMBER(SEARCH("None",H323)),"None",H323))</f>
        <v>Data Analyst</v>
      </c>
      <c r="J323" t="s">
        <v>31</v>
      </c>
      <c r="K323" t="s">
        <v>44</v>
      </c>
      <c r="L323">
        <f t="shared" ref="L323:L386" si="48">(VALUE(SUBSTITUTE(LEFT(K323,FIND("-",K323)-1),"k","")) + VALUE(SUBSTITUTE(MID(K323,FIND("-",K323)+1,LEN(K323)),"k","")))/2</f>
        <v>53</v>
      </c>
      <c r="M323" t="s">
        <v>33</v>
      </c>
      <c r="N323" t="str">
        <f t="shared" ref="N323:N386" si="49">IF(LEFT(M323,5)="Other","Other",IF(ISNUMBER(SEARCH("None",M323)),"None",M323))</f>
        <v>Healthcare</v>
      </c>
      <c r="O323" t="s">
        <v>34</v>
      </c>
      <c r="P323" t="str">
        <f t="shared" ref="P323:P386" si="50">IF(LEFT(O323,5)="Other","Other",IF(ISNUMBER(SEARCH("None",O323)),"None",O323))</f>
        <v>Python</v>
      </c>
      <c r="Q323">
        <v>4</v>
      </c>
      <c r="R323">
        <v>10</v>
      </c>
      <c r="S323">
        <v>9</v>
      </c>
      <c r="T323">
        <v>3</v>
      </c>
      <c r="U323">
        <v>0</v>
      </c>
      <c r="V323">
        <v>10</v>
      </c>
      <c r="W323" t="s">
        <v>69</v>
      </c>
      <c r="X323" t="s">
        <v>56</v>
      </c>
      <c r="Y323" t="s">
        <v>37</v>
      </c>
      <c r="Z323">
        <v>25</v>
      </c>
      <c r="AA323" t="s">
        <v>38</v>
      </c>
      <c r="AB323" t="str">
        <f t="shared" ref="AB323:AB386" si="51">IF(LEFT(AA323,5)="Other","Other",IF(ISNUMBER(SEARCH("None",AA323)),"None",AA323))</f>
        <v>United States</v>
      </c>
      <c r="AC323" t="s">
        <v>237</v>
      </c>
      <c r="AD323" t="str">
        <f t="shared" ref="AD323:AD386" si="52">IF(AC323="","none",AC323)</f>
        <v>Bachelors</v>
      </c>
      <c r="AE323" t="s">
        <v>39</v>
      </c>
      <c r="AF323" t="str">
        <f t="shared" ref="AF323:AF386" si="53">IF(LEFT(AE323,5)="Other","Other",IF(ISNUMBER(SEARCH("None",AE323)),"None",AE323))</f>
        <v>White or Caucasian</v>
      </c>
    </row>
    <row r="324" spans="1:32" x14ac:dyDescent="0.45">
      <c r="A324" t="s">
        <v>1022</v>
      </c>
      <c r="B324" t="s">
        <v>25</v>
      </c>
      <c r="C324" s="3" t="s">
        <v>26</v>
      </c>
      <c r="D324" s="3">
        <f t="shared" si="45"/>
        <v>44840</v>
      </c>
      <c r="E324" t="s">
        <v>1023</v>
      </c>
      <c r="F324" s="4">
        <f t="shared" si="46"/>
        <v>0.83263888888888893</v>
      </c>
      <c r="G324" t="s">
        <v>1024</v>
      </c>
      <c r="H324" t="s">
        <v>77</v>
      </c>
      <c r="I324" t="str">
        <f t="shared" si="47"/>
        <v>Data Scientist</v>
      </c>
      <c r="J324" t="s">
        <v>43</v>
      </c>
      <c r="K324" t="s">
        <v>63</v>
      </c>
      <c r="L324">
        <f t="shared" si="48"/>
        <v>187.5</v>
      </c>
      <c r="M324" t="s">
        <v>78</v>
      </c>
      <c r="N324" t="str">
        <f t="shared" si="49"/>
        <v>Other</v>
      </c>
      <c r="O324" t="s">
        <v>34</v>
      </c>
      <c r="P324" t="str">
        <f t="shared" si="50"/>
        <v>Python</v>
      </c>
      <c r="Q324">
        <v>8</v>
      </c>
      <c r="R324">
        <v>7</v>
      </c>
      <c r="S324">
        <v>8</v>
      </c>
      <c r="T324">
        <v>7</v>
      </c>
      <c r="U324">
        <v>7</v>
      </c>
      <c r="V324">
        <v>8</v>
      </c>
      <c r="W324" t="s">
        <v>85</v>
      </c>
      <c r="X324" t="s">
        <v>56</v>
      </c>
      <c r="Y324" t="s">
        <v>37</v>
      </c>
      <c r="Z324">
        <v>38</v>
      </c>
      <c r="AA324" t="s">
        <v>38</v>
      </c>
      <c r="AB324" t="str">
        <f t="shared" si="51"/>
        <v>United States</v>
      </c>
      <c r="AC324" t="s">
        <v>240</v>
      </c>
      <c r="AD324" t="str">
        <f t="shared" si="52"/>
        <v>Masters</v>
      </c>
      <c r="AE324" t="s">
        <v>39</v>
      </c>
      <c r="AF324" t="str">
        <f t="shared" si="53"/>
        <v>White or Caucasian</v>
      </c>
    </row>
    <row r="325" spans="1:32" x14ac:dyDescent="0.45">
      <c r="A325" t="s">
        <v>1025</v>
      </c>
      <c r="B325" t="s">
        <v>25</v>
      </c>
      <c r="C325" s="3" t="s">
        <v>26</v>
      </c>
      <c r="D325" s="3">
        <f t="shared" si="45"/>
        <v>44840</v>
      </c>
      <c r="E325" t="s">
        <v>1026</v>
      </c>
      <c r="F325" s="4">
        <f t="shared" si="46"/>
        <v>0.83680555555555558</v>
      </c>
      <c r="G325" t="s">
        <v>531</v>
      </c>
      <c r="H325" t="s">
        <v>30</v>
      </c>
      <c r="I325" t="str">
        <f t="shared" si="47"/>
        <v>Data Analyst</v>
      </c>
      <c r="J325" t="s">
        <v>31</v>
      </c>
      <c r="K325" t="s">
        <v>94</v>
      </c>
      <c r="L325">
        <f t="shared" si="48"/>
        <v>75.5</v>
      </c>
      <c r="M325" t="s">
        <v>160</v>
      </c>
      <c r="N325" t="str">
        <f t="shared" si="49"/>
        <v>Other</v>
      </c>
      <c r="O325" t="s">
        <v>46</v>
      </c>
      <c r="P325" t="str">
        <f t="shared" si="50"/>
        <v>R</v>
      </c>
      <c r="Q325">
        <v>3</v>
      </c>
      <c r="R325">
        <v>2</v>
      </c>
      <c r="S325">
        <v>6</v>
      </c>
      <c r="T325">
        <v>6</v>
      </c>
      <c r="U325">
        <v>5</v>
      </c>
      <c r="V325">
        <v>4</v>
      </c>
      <c r="W325" t="s">
        <v>69</v>
      </c>
      <c r="X325" t="s">
        <v>56</v>
      </c>
      <c r="Y325" t="s">
        <v>37</v>
      </c>
      <c r="Z325">
        <v>30</v>
      </c>
      <c r="AA325" t="s">
        <v>38</v>
      </c>
      <c r="AB325" t="str">
        <f t="shared" si="51"/>
        <v>United States</v>
      </c>
      <c r="AC325" t="s">
        <v>240</v>
      </c>
      <c r="AD325" t="str">
        <f t="shared" si="52"/>
        <v>Masters</v>
      </c>
      <c r="AE325" t="s">
        <v>1027</v>
      </c>
      <c r="AF325" t="str">
        <f t="shared" si="53"/>
        <v>Other</v>
      </c>
    </row>
    <row r="326" spans="1:32" x14ac:dyDescent="0.45">
      <c r="A326" t="s">
        <v>1028</v>
      </c>
      <c r="B326" t="s">
        <v>25</v>
      </c>
      <c r="C326" s="3" t="s">
        <v>26</v>
      </c>
      <c r="D326" s="3">
        <f t="shared" si="45"/>
        <v>44840</v>
      </c>
      <c r="E326" t="s">
        <v>1029</v>
      </c>
      <c r="F326" s="4">
        <f t="shared" si="46"/>
        <v>0.85555555555555551</v>
      </c>
      <c r="G326" t="s">
        <v>527</v>
      </c>
      <c r="H326" t="s">
        <v>30</v>
      </c>
      <c r="I326" t="str">
        <f t="shared" si="47"/>
        <v>Data Analyst</v>
      </c>
      <c r="J326" t="s">
        <v>31</v>
      </c>
      <c r="K326" t="s">
        <v>44</v>
      </c>
      <c r="L326">
        <f t="shared" si="48"/>
        <v>53</v>
      </c>
      <c r="M326" t="s">
        <v>103</v>
      </c>
      <c r="N326" t="str">
        <f t="shared" si="49"/>
        <v>Tech</v>
      </c>
      <c r="O326" t="s">
        <v>34</v>
      </c>
      <c r="P326" t="str">
        <f t="shared" si="50"/>
        <v>Python</v>
      </c>
      <c r="Q326">
        <v>3</v>
      </c>
      <c r="R326">
        <v>5</v>
      </c>
      <c r="S326">
        <v>6</v>
      </c>
      <c r="T326">
        <v>6</v>
      </c>
      <c r="U326">
        <v>6</v>
      </c>
      <c r="V326">
        <v>7</v>
      </c>
      <c r="W326" t="s">
        <v>69</v>
      </c>
      <c r="X326" t="s">
        <v>114</v>
      </c>
      <c r="Y326" t="s">
        <v>37</v>
      </c>
      <c r="Z326">
        <v>35</v>
      </c>
      <c r="AA326" t="s">
        <v>38</v>
      </c>
      <c r="AB326" t="str">
        <f t="shared" si="51"/>
        <v>United States</v>
      </c>
      <c r="AC326" t="s">
        <v>240</v>
      </c>
      <c r="AD326" t="str">
        <f t="shared" si="52"/>
        <v>Masters</v>
      </c>
      <c r="AE326" t="s">
        <v>58</v>
      </c>
      <c r="AF326" t="str">
        <f t="shared" si="53"/>
        <v>Black or African American</v>
      </c>
    </row>
    <row r="327" spans="1:32" x14ac:dyDescent="0.45">
      <c r="A327" t="s">
        <v>1030</v>
      </c>
      <c r="B327" t="s">
        <v>25</v>
      </c>
      <c r="C327" s="3" t="s">
        <v>26</v>
      </c>
      <c r="D327" s="3">
        <f t="shared" si="45"/>
        <v>44840</v>
      </c>
      <c r="E327" t="s">
        <v>1031</v>
      </c>
      <c r="F327" s="4">
        <f t="shared" si="46"/>
        <v>0.8569444444444444</v>
      </c>
      <c r="G327" t="s">
        <v>250</v>
      </c>
      <c r="H327" t="s">
        <v>1032</v>
      </c>
      <c r="I327" t="str">
        <f t="shared" si="47"/>
        <v>Other</v>
      </c>
      <c r="J327" t="s">
        <v>43</v>
      </c>
      <c r="K327" t="s">
        <v>44</v>
      </c>
      <c r="L327">
        <f t="shared" si="48"/>
        <v>53</v>
      </c>
      <c r="M327" t="s">
        <v>108</v>
      </c>
      <c r="N327" t="str">
        <f t="shared" si="49"/>
        <v>Education</v>
      </c>
      <c r="O327" t="s">
        <v>1033</v>
      </c>
      <c r="P327" t="str">
        <f t="shared" si="50"/>
        <v>Other</v>
      </c>
      <c r="Q327">
        <v>0</v>
      </c>
      <c r="R327">
        <v>1</v>
      </c>
      <c r="S327">
        <v>10</v>
      </c>
      <c r="T327">
        <v>5</v>
      </c>
      <c r="U327">
        <v>0</v>
      </c>
      <c r="V327">
        <v>0</v>
      </c>
      <c r="W327" t="s">
        <v>69</v>
      </c>
      <c r="X327" t="s">
        <v>70</v>
      </c>
      <c r="Y327" t="s">
        <v>65</v>
      </c>
      <c r="Z327">
        <v>42</v>
      </c>
      <c r="AA327" t="s">
        <v>38</v>
      </c>
      <c r="AB327" t="str">
        <f t="shared" si="51"/>
        <v>United States</v>
      </c>
      <c r="AC327" t="s">
        <v>237</v>
      </c>
      <c r="AD327" t="str">
        <f t="shared" si="52"/>
        <v>Bachelors</v>
      </c>
      <c r="AE327" t="s">
        <v>39</v>
      </c>
      <c r="AF327" t="str">
        <f t="shared" si="53"/>
        <v>White or Caucasian</v>
      </c>
    </row>
    <row r="328" spans="1:32" x14ac:dyDescent="0.45">
      <c r="A328" t="s">
        <v>1034</v>
      </c>
      <c r="B328" t="s">
        <v>25</v>
      </c>
      <c r="C328" s="3" t="s">
        <v>26</v>
      </c>
      <c r="D328" s="3">
        <f t="shared" si="45"/>
        <v>44840</v>
      </c>
      <c r="E328" t="s">
        <v>1035</v>
      </c>
      <c r="F328" s="4">
        <f t="shared" si="46"/>
        <v>0.88611111111111107</v>
      </c>
      <c r="G328" t="s">
        <v>682</v>
      </c>
      <c r="H328" t="s">
        <v>30</v>
      </c>
      <c r="I328" t="str">
        <f t="shared" si="47"/>
        <v>Data Analyst</v>
      </c>
      <c r="J328" t="s">
        <v>31</v>
      </c>
      <c r="K328" t="s">
        <v>94</v>
      </c>
      <c r="L328">
        <f t="shared" si="48"/>
        <v>75.5</v>
      </c>
      <c r="M328" t="s">
        <v>33</v>
      </c>
      <c r="N328" t="str">
        <f t="shared" si="49"/>
        <v>Healthcare</v>
      </c>
      <c r="O328" t="s">
        <v>34</v>
      </c>
      <c r="P328" t="str">
        <f t="shared" si="50"/>
        <v>Python</v>
      </c>
      <c r="Q328">
        <v>3</v>
      </c>
      <c r="R328">
        <v>5</v>
      </c>
      <c r="S328">
        <v>4</v>
      </c>
      <c r="T328">
        <v>6</v>
      </c>
      <c r="U328">
        <v>4</v>
      </c>
      <c r="V328">
        <v>6</v>
      </c>
      <c r="W328" t="s">
        <v>55</v>
      </c>
      <c r="X328" t="s">
        <v>36</v>
      </c>
      <c r="Y328" t="s">
        <v>37</v>
      </c>
      <c r="Z328">
        <v>30</v>
      </c>
      <c r="AA328" t="s">
        <v>38</v>
      </c>
      <c r="AB328" t="str">
        <f t="shared" si="51"/>
        <v>United States</v>
      </c>
      <c r="AC328" t="s">
        <v>240</v>
      </c>
      <c r="AD328" t="str">
        <f t="shared" si="52"/>
        <v>Masters</v>
      </c>
      <c r="AE328" t="s">
        <v>39</v>
      </c>
      <c r="AF328" t="str">
        <f t="shared" si="53"/>
        <v>White or Caucasian</v>
      </c>
    </row>
    <row r="329" spans="1:32" x14ac:dyDescent="0.45">
      <c r="A329" t="s">
        <v>1036</v>
      </c>
      <c r="B329" t="s">
        <v>25</v>
      </c>
      <c r="C329" s="3" t="s">
        <v>26</v>
      </c>
      <c r="D329" s="3">
        <f t="shared" si="45"/>
        <v>44840</v>
      </c>
      <c r="E329" t="s">
        <v>1037</v>
      </c>
      <c r="F329" s="4">
        <f t="shared" si="46"/>
        <v>0.89097222222222228</v>
      </c>
      <c r="G329" t="s">
        <v>229</v>
      </c>
      <c r="H329" t="s">
        <v>123</v>
      </c>
      <c r="I329" t="str">
        <f t="shared" si="47"/>
        <v>None</v>
      </c>
      <c r="J329" t="s">
        <v>31</v>
      </c>
      <c r="K329" t="s">
        <v>53</v>
      </c>
      <c r="L329">
        <f t="shared" si="48"/>
        <v>20</v>
      </c>
      <c r="M329" t="s">
        <v>1038</v>
      </c>
      <c r="N329" t="str">
        <f t="shared" si="49"/>
        <v>Other</v>
      </c>
      <c r="O329" t="s">
        <v>34</v>
      </c>
      <c r="P329" t="str">
        <f t="shared" si="50"/>
        <v>Python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</v>
      </c>
      <c r="W329" t="s">
        <v>35</v>
      </c>
      <c r="X329" t="s">
        <v>70</v>
      </c>
      <c r="Y329" t="s">
        <v>65</v>
      </c>
      <c r="Z329">
        <v>25</v>
      </c>
      <c r="AA329" t="s">
        <v>57</v>
      </c>
      <c r="AB329" t="str">
        <f t="shared" si="51"/>
        <v>Other</v>
      </c>
      <c r="AC329" t="s">
        <v>237</v>
      </c>
      <c r="AD329" t="str">
        <f t="shared" si="52"/>
        <v>Bachelors</v>
      </c>
      <c r="AE329" t="s">
        <v>58</v>
      </c>
      <c r="AF329" t="str">
        <f t="shared" si="53"/>
        <v>Black or African American</v>
      </c>
    </row>
    <row r="330" spans="1:32" x14ac:dyDescent="0.45">
      <c r="A330" t="s">
        <v>1039</v>
      </c>
      <c r="B330" t="s">
        <v>25</v>
      </c>
      <c r="C330" s="3" t="s">
        <v>26</v>
      </c>
      <c r="D330" s="3">
        <f t="shared" si="45"/>
        <v>44840</v>
      </c>
      <c r="E330" t="s">
        <v>1040</v>
      </c>
      <c r="F330" s="4">
        <f t="shared" si="46"/>
        <v>0.90625</v>
      </c>
      <c r="G330" t="s">
        <v>1041</v>
      </c>
      <c r="H330" t="s">
        <v>30</v>
      </c>
      <c r="I330" t="str">
        <f t="shared" si="47"/>
        <v>Data Analyst</v>
      </c>
      <c r="J330" t="s">
        <v>43</v>
      </c>
      <c r="K330" t="s">
        <v>87</v>
      </c>
      <c r="L330">
        <f t="shared" si="48"/>
        <v>95.5</v>
      </c>
      <c r="M330" t="s">
        <v>33</v>
      </c>
      <c r="N330" t="str">
        <f t="shared" si="49"/>
        <v>Healthcare</v>
      </c>
      <c r="O330" t="s">
        <v>34</v>
      </c>
      <c r="P330" t="str">
        <f t="shared" si="50"/>
        <v>Python</v>
      </c>
      <c r="Q330">
        <v>5</v>
      </c>
      <c r="R330">
        <v>9</v>
      </c>
      <c r="S330">
        <v>5</v>
      </c>
      <c r="T330">
        <v>2</v>
      </c>
      <c r="U330">
        <v>5</v>
      </c>
      <c r="V330">
        <v>1</v>
      </c>
      <c r="W330" t="s">
        <v>69</v>
      </c>
      <c r="X330" t="s">
        <v>114</v>
      </c>
      <c r="Y330" t="s">
        <v>65</v>
      </c>
      <c r="Z330">
        <v>28</v>
      </c>
      <c r="AA330" t="s">
        <v>38</v>
      </c>
      <c r="AB330" t="str">
        <f t="shared" si="51"/>
        <v>United States</v>
      </c>
      <c r="AC330" t="s">
        <v>237</v>
      </c>
      <c r="AD330" t="str">
        <f t="shared" si="52"/>
        <v>Bachelors</v>
      </c>
      <c r="AE330" t="s">
        <v>48</v>
      </c>
      <c r="AF330" t="str">
        <f t="shared" si="53"/>
        <v>Asian or Asian American</v>
      </c>
    </row>
    <row r="331" spans="1:32" x14ac:dyDescent="0.45">
      <c r="A331" t="s">
        <v>1042</v>
      </c>
      <c r="B331" t="s">
        <v>25</v>
      </c>
      <c r="C331" s="3" t="s">
        <v>26</v>
      </c>
      <c r="D331" s="3">
        <f t="shared" si="45"/>
        <v>44840</v>
      </c>
      <c r="E331" t="s">
        <v>1043</v>
      </c>
      <c r="F331" s="4">
        <f t="shared" si="46"/>
        <v>0.9145833333333333</v>
      </c>
      <c r="G331" t="s">
        <v>1044</v>
      </c>
      <c r="H331" t="s">
        <v>30</v>
      </c>
      <c r="I331" t="str">
        <f t="shared" si="47"/>
        <v>Data Analyst</v>
      </c>
      <c r="J331" t="s">
        <v>31</v>
      </c>
      <c r="K331" t="s">
        <v>53</v>
      </c>
      <c r="L331">
        <f t="shared" si="48"/>
        <v>20</v>
      </c>
      <c r="M331" t="s">
        <v>1045</v>
      </c>
      <c r="N331" t="str">
        <f t="shared" si="49"/>
        <v>Other</v>
      </c>
      <c r="O331" t="s">
        <v>34</v>
      </c>
      <c r="P331" t="str">
        <f t="shared" si="50"/>
        <v>Python</v>
      </c>
      <c r="Q331">
        <v>5</v>
      </c>
      <c r="R331">
        <v>10</v>
      </c>
      <c r="S331">
        <v>8</v>
      </c>
      <c r="T331">
        <v>5</v>
      </c>
      <c r="U331">
        <v>7</v>
      </c>
      <c r="V331">
        <v>10</v>
      </c>
      <c r="W331" t="s">
        <v>35</v>
      </c>
      <c r="X331" t="s">
        <v>1046</v>
      </c>
      <c r="Y331" t="s">
        <v>37</v>
      </c>
      <c r="Z331">
        <v>28</v>
      </c>
      <c r="AA331" t="s">
        <v>47</v>
      </c>
      <c r="AB331" t="str">
        <f t="shared" si="51"/>
        <v>Canada</v>
      </c>
      <c r="AC331" t="s">
        <v>237</v>
      </c>
      <c r="AD331" t="str">
        <f t="shared" si="52"/>
        <v>Bachelors</v>
      </c>
      <c r="AE331" t="s">
        <v>48</v>
      </c>
      <c r="AF331" t="str">
        <f t="shared" si="53"/>
        <v>Asian or Asian American</v>
      </c>
    </row>
    <row r="332" spans="1:32" x14ac:dyDescent="0.45">
      <c r="A332" t="s">
        <v>1047</v>
      </c>
      <c r="B332" t="s">
        <v>25</v>
      </c>
      <c r="C332" s="3" t="s">
        <v>26</v>
      </c>
      <c r="D332" s="3">
        <f t="shared" si="45"/>
        <v>44840</v>
      </c>
      <c r="E332" t="s">
        <v>1048</v>
      </c>
      <c r="F332" s="4">
        <f t="shared" si="46"/>
        <v>0.91527777777777775</v>
      </c>
      <c r="G332" t="s">
        <v>700</v>
      </c>
      <c r="H332" t="s">
        <v>123</v>
      </c>
      <c r="I332" t="str">
        <f t="shared" si="47"/>
        <v>None</v>
      </c>
      <c r="J332" t="s">
        <v>43</v>
      </c>
      <c r="K332" t="s">
        <v>53</v>
      </c>
      <c r="L332">
        <f t="shared" si="48"/>
        <v>20</v>
      </c>
      <c r="M332" t="s">
        <v>1049</v>
      </c>
      <c r="N332" t="str">
        <f t="shared" si="49"/>
        <v>Other</v>
      </c>
      <c r="O332" t="s">
        <v>318</v>
      </c>
      <c r="P332" t="str">
        <f t="shared" si="50"/>
        <v>Other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85</v>
      </c>
      <c r="X332" t="s">
        <v>70</v>
      </c>
      <c r="Y332" t="s">
        <v>37</v>
      </c>
      <c r="Z332">
        <v>20</v>
      </c>
      <c r="AA332" t="s">
        <v>744</v>
      </c>
      <c r="AB332" t="str">
        <f t="shared" si="51"/>
        <v>Other</v>
      </c>
      <c r="AC332" t="s">
        <v>227</v>
      </c>
      <c r="AD332" t="str">
        <f t="shared" si="52"/>
        <v>High School</v>
      </c>
      <c r="AE332" t="s">
        <v>48</v>
      </c>
      <c r="AF332" t="str">
        <f t="shared" si="53"/>
        <v>Asian or Asian American</v>
      </c>
    </row>
    <row r="333" spans="1:32" x14ac:dyDescent="0.45">
      <c r="A333" t="s">
        <v>1050</v>
      </c>
      <c r="B333" t="s">
        <v>25</v>
      </c>
      <c r="C333" s="3" t="s">
        <v>26</v>
      </c>
      <c r="D333" s="3">
        <f t="shared" si="45"/>
        <v>44840</v>
      </c>
      <c r="E333" t="s">
        <v>1051</v>
      </c>
      <c r="F333" s="4">
        <f t="shared" si="46"/>
        <v>0.93194444444444446</v>
      </c>
      <c r="G333" t="s">
        <v>1052</v>
      </c>
      <c r="H333" t="s">
        <v>30</v>
      </c>
      <c r="I333" t="str">
        <f t="shared" si="47"/>
        <v>Data Analyst</v>
      </c>
      <c r="J333" t="s">
        <v>31</v>
      </c>
      <c r="K333" t="s">
        <v>32</v>
      </c>
      <c r="L333">
        <f t="shared" si="48"/>
        <v>115.5</v>
      </c>
      <c r="M333" t="s">
        <v>113</v>
      </c>
      <c r="N333" t="str">
        <f t="shared" si="49"/>
        <v>Construction</v>
      </c>
      <c r="O333" t="s">
        <v>1053</v>
      </c>
      <c r="P333" t="str">
        <f t="shared" si="50"/>
        <v>Other</v>
      </c>
      <c r="Q333">
        <v>7</v>
      </c>
      <c r="R333">
        <v>8</v>
      </c>
      <c r="S333">
        <v>7</v>
      </c>
      <c r="T333">
        <v>7</v>
      </c>
      <c r="U333">
        <v>10</v>
      </c>
      <c r="V333">
        <v>10</v>
      </c>
      <c r="W333" t="s">
        <v>55</v>
      </c>
      <c r="X333" t="s">
        <v>114</v>
      </c>
      <c r="Y333" t="s">
        <v>37</v>
      </c>
      <c r="Z333">
        <v>33</v>
      </c>
      <c r="AA333" t="s">
        <v>38</v>
      </c>
      <c r="AB333" t="str">
        <f t="shared" si="51"/>
        <v>United States</v>
      </c>
      <c r="AC333" t="s">
        <v>240</v>
      </c>
      <c r="AD333" t="str">
        <f t="shared" si="52"/>
        <v>Masters</v>
      </c>
      <c r="AE333" t="s">
        <v>91</v>
      </c>
      <c r="AF333" t="str">
        <f t="shared" si="53"/>
        <v>Hispanic or Latino</v>
      </c>
    </row>
    <row r="334" spans="1:32" x14ac:dyDescent="0.45">
      <c r="A334" t="s">
        <v>1054</v>
      </c>
      <c r="B334" t="s">
        <v>25</v>
      </c>
      <c r="C334" s="3" t="s">
        <v>26</v>
      </c>
      <c r="D334" s="3">
        <f t="shared" si="45"/>
        <v>44840</v>
      </c>
      <c r="E334" t="s">
        <v>1055</v>
      </c>
      <c r="F334" s="4">
        <f t="shared" si="46"/>
        <v>0.93680555555555556</v>
      </c>
      <c r="G334" t="s">
        <v>1056</v>
      </c>
      <c r="H334" t="s">
        <v>30</v>
      </c>
      <c r="I334" t="str">
        <f t="shared" si="47"/>
        <v>Data Analyst</v>
      </c>
      <c r="J334" t="s">
        <v>43</v>
      </c>
      <c r="K334" t="s">
        <v>94</v>
      </c>
      <c r="L334">
        <f t="shared" si="48"/>
        <v>75.5</v>
      </c>
      <c r="M334" t="s">
        <v>103</v>
      </c>
      <c r="N334" t="str">
        <f t="shared" si="49"/>
        <v>Tech</v>
      </c>
      <c r="O334" t="s">
        <v>34</v>
      </c>
      <c r="P334" t="str">
        <f t="shared" si="50"/>
        <v>Python</v>
      </c>
      <c r="Q334">
        <v>8</v>
      </c>
      <c r="R334">
        <v>6</v>
      </c>
      <c r="S334">
        <v>7</v>
      </c>
      <c r="T334">
        <v>7</v>
      </c>
      <c r="U334">
        <v>8</v>
      </c>
      <c r="V334">
        <v>8</v>
      </c>
      <c r="W334" t="s">
        <v>55</v>
      </c>
      <c r="X334" t="s">
        <v>70</v>
      </c>
      <c r="Y334" t="s">
        <v>37</v>
      </c>
      <c r="Z334">
        <v>23</v>
      </c>
      <c r="AA334" t="s">
        <v>38</v>
      </c>
      <c r="AB334" t="str">
        <f t="shared" si="51"/>
        <v>United States</v>
      </c>
      <c r="AC334" t="s">
        <v>262</v>
      </c>
      <c r="AD334" t="str">
        <f t="shared" si="52"/>
        <v>Associates</v>
      </c>
      <c r="AE334" t="s">
        <v>39</v>
      </c>
      <c r="AF334" t="str">
        <f t="shared" si="53"/>
        <v>White or Caucasian</v>
      </c>
    </row>
    <row r="335" spans="1:32" x14ac:dyDescent="0.45">
      <c r="A335" t="s">
        <v>1057</v>
      </c>
      <c r="B335" t="s">
        <v>25</v>
      </c>
      <c r="C335" s="3" t="s">
        <v>26</v>
      </c>
      <c r="D335" s="3">
        <f t="shared" si="45"/>
        <v>44840</v>
      </c>
      <c r="E335" t="s">
        <v>1058</v>
      </c>
      <c r="F335" s="4">
        <f t="shared" si="46"/>
        <v>0.93888888888888888</v>
      </c>
      <c r="G335" t="s">
        <v>1059</v>
      </c>
      <c r="H335" t="s">
        <v>30</v>
      </c>
      <c r="I335" t="str">
        <f t="shared" si="47"/>
        <v>Data Analyst</v>
      </c>
      <c r="J335" t="s">
        <v>31</v>
      </c>
      <c r="K335" t="s">
        <v>53</v>
      </c>
      <c r="L335">
        <f t="shared" si="48"/>
        <v>20</v>
      </c>
      <c r="M335" t="s">
        <v>33</v>
      </c>
      <c r="N335" t="str">
        <f t="shared" si="49"/>
        <v>Healthcare</v>
      </c>
      <c r="O335" t="s">
        <v>46</v>
      </c>
      <c r="P335" t="str">
        <f t="shared" si="50"/>
        <v>R</v>
      </c>
      <c r="Q335">
        <v>4</v>
      </c>
      <c r="R335">
        <v>5</v>
      </c>
      <c r="S335">
        <v>7</v>
      </c>
      <c r="T335">
        <v>7</v>
      </c>
      <c r="U335">
        <v>5</v>
      </c>
      <c r="V335">
        <v>7</v>
      </c>
      <c r="W335" t="s">
        <v>85</v>
      </c>
      <c r="X335" t="s">
        <v>70</v>
      </c>
      <c r="Y335" t="s">
        <v>65</v>
      </c>
      <c r="Z335">
        <v>35</v>
      </c>
      <c r="AA335" t="s">
        <v>1060</v>
      </c>
      <c r="AB335" t="str">
        <f t="shared" si="51"/>
        <v>Other</v>
      </c>
      <c r="AC335" t="s">
        <v>237</v>
      </c>
      <c r="AD335" t="str">
        <f t="shared" si="52"/>
        <v>Bachelors</v>
      </c>
      <c r="AE335" t="s">
        <v>91</v>
      </c>
      <c r="AF335" t="str">
        <f t="shared" si="53"/>
        <v>Hispanic or Latino</v>
      </c>
    </row>
    <row r="336" spans="1:32" x14ac:dyDescent="0.45">
      <c r="A336" t="s">
        <v>1061</v>
      </c>
      <c r="B336" t="s">
        <v>25</v>
      </c>
      <c r="C336" s="3" t="s">
        <v>26</v>
      </c>
      <c r="D336" s="3">
        <f t="shared" si="45"/>
        <v>44840</v>
      </c>
      <c r="E336" t="s">
        <v>1062</v>
      </c>
      <c r="F336" s="4">
        <f t="shared" si="46"/>
        <v>0.95</v>
      </c>
      <c r="G336" t="s">
        <v>1063</v>
      </c>
      <c r="H336" t="s">
        <v>123</v>
      </c>
      <c r="I336" t="str">
        <f t="shared" si="47"/>
        <v>None</v>
      </c>
      <c r="J336" t="s">
        <v>31</v>
      </c>
      <c r="K336" t="s">
        <v>53</v>
      </c>
      <c r="L336">
        <f t="shared" si="48"/>
        <v>20</v>
      </c>
      <c r="M336" t="s">
        <v>1064</v>
      </c>
      <c r="N336" t="str">
        <f t="shared" si="49"/>
        <v>Other</v>
      </c>
      <c r="O336" t="s">
        <v>34</v>
      </c>
      <c r="P336" t="str">
        <f t="shared" si="50"/>
        <v>Python</v>
      </c>
      <c r="Q336">
        <v>2</v>
      </c>
      <c r="R336">
        <v>2</v>
      </c>
      <c r="S336">
        <v>3</v>
      </c>
      <c r="T336">
        <v>3</v>
      </c>
      <c r="U336">
        <v>2</v>
      </c>
      <c r="V336">
        <v>3</v>
      </c>
      <c r="W336" t="s">
        <v>69</v>
      </c>
      <c r="X336" t="s">
        <v>56</v>
      </c>
      <c r="Y336" t="s">
        <v>37</v>
      </c>
      <c r="Z336">
        <v>22</v>
      </c>
      <c r="AA336" t="s">
        <v>147</v>
      </c>
      <c r="AB336" t="str">
        <f t="shared" si="51"/>
        <v>India</v>
      </c>
      <c r="AC336" t="s">
        <v>237</v>
      </c>
      <c r="AD336" t="str">
        <f t="shared" si="52"/>
        <v>Bachelors</v>
      </c>
      <c r="AE336" t="s">
        <v>48</v>
      </c>
      <c r="AF336" t="str">
        <f t="shared" si="53"/>
        <v>Asian or Asian American</v>
      </c>
    </row>
    <row r="337" spans="1:32" x14ac:dyDescent="0.45">
      <c r="A337" t="s">
        <v>1065</v>
      </c>
      <c r="B337" t="s">
        <v>25</v>
      </c>
      <c r="C337" s="3" t="s">
        <v>26</v>
      </c>
      <c r="D337" s="3">
        <f t="shared" si="45"/>
        <v>44840</v>
      </c>
      <c r="E337" t="s">
        <v>1066</v>
      </c>
      <c r="F337" s="4">
        <f t="shared" si="46"/>
        <v>0.95347222222222228</v>
      </c>
      <c r="G337" t="s">
        <v>654</v>
      </c>
      <c r="H337" t="s">
        <v>30</v>
      </c>
      <c r="I337" t="str">
        <f t="shared" si="47"/>
        <v>Data Analyst</v>
      </c>
      <c r="J337" t="s">
        <v>31</v>
      </c>
      <c r="K337" t="s">
        <v>53</v>
      </c>
      <c r="L337">
        <f t="shared" si="48"/>
        <v>20</v>
      </c>
      <c r="M337" t="s">
        <v>103</v>
      </c>
      <c r="N337" t="str">
        <f t="shared" si="49"/>
        <v>Tech</v>
      </c>
      <c r="O337" t="s">
        <v>34</v>
      </c>
      <c r="P337" t="str">
        <f t="shared" si="50"/>
        <v>Python</v>
      </c>
      <c r="Q337">
        <v>5</v>
      </c>
      <c r="R337">
        <v>10</v>
      </c>
      <c r="S337">
        <v>5</v>
      </c>
      <c r="T337">
        <v>6</v>
      </c>
      <c r="U337">
        <v>6</v>
      </c>
      <c r="V337">
        <v>8</v>
      </c>
      <c r="W337" t="s">
        <v>35</v>
      </c>
      <c r="X337" t="s">
        <v>70</v>
      </c>
      <c r="Y337" t="s">
        <v>37</v>
      </c>
      <c r="Z337">
        <v>33</v>
      </c>
      <c r="AA337" t="s">
        <v>147</v>
      </c>
      <c r="AB337" t="str">
        <f t="shared" si="51"/>
        <v>India</v>
      </c>
      <c r="AC337" t="s">
        <v>237</v>
      </c>
      <c r="AD337" t="str">
        <f t="shared" si="52"/>
        <v>Bachelors</v>
      </c>
      <c r="AE337" t="s">
        <v>48</v>
      </c>
      <c r="AF337" t="str">
        <f t="shared" si="53"/>
        <v>Asian or Asian American</v>
      </c>
    </row>
    <row r="338" spans="1:32" x14ac:dyDescent="0.45">
      <c r="A338" t="s">
        <v>1067</v>
      </c>
      <c r="B338" t="s">
        <v>25</v>
      </c>
      <c r="C338" s="3" t="s">
        <v>26</v>
      </c>
      <c r="D338" s="3">
        <f t="shared" si="45"/>
        <v>44840</v>
      </c>
      <c r="E338" t="s">
        <v>1068</v>
      </c>
      <c r="F338" s="4">
        <f t="shared" si="46"/>
        <v>0.95416666666666672</v>
      </c>
      <c r="G338" t="s">
        <v>700</v>
      </c>
      <c r="H338" t="s">
        <v>52</v>
      </c>
      <c r="I338" t="str">
        <f t="shared" si="47"/>
        <v>Data Engineer</v>
      </c>
      <c r="J338" t="s">
        <v>43</v>
      </c>
      <c r="K338" t="s">
        <v>53</v>
      </c>
      <c r="L338">
        <f t="shared" si="48"/>
        <v>20</v>
      </c>
      <c r="M338" t="s">
        <v>712</v>
      </c>
      <c r="N338" t="str">
        <f t="shared" si="49"/>
        <v>Real Estate</v>
      </c>
      <c r="O338" t="s">
        <v>34</v>
      </c>
      <c r="P338" t="str">
        <f t="shared" si="50"/>
        <v>Python</v>
      </c>
      <c r="Q338">
        <v>1</v>
      </c>
      <c r="R338">
        <v>7</v>
      </c>
      <c r="S338">
        <v>7</v>
      </c>
      <c r="T338">
        <v>7</v>
      </c>
      <c r="U338">
        <v>1</v>
      </c>
      <c r="V338">
        <v>2</v>
      </c>
      <c r="W338" t="s">
        <v>64</v>
      </c>
      <c r="X338" t="s">
        <v>70</v>
      </c>
      <c r="Y338" t="s">
        <v>37</v>
      </c>
      <c r="Z338">
        <v>22</v>
      </c>
      <c r="AA338" t="s">
        <v>38</v>
      </c>
      <c r="AB338" t="str">
        <f t="shared" si="51"/>
        <v>United States</v>
      </c>
      <c r="AC338" t="s">
        <v>237</v>
      </c>
      <c r="AD338" t="str">
        <f t="shared" si="52"/>
        <v>Bachelors</v>
      </c>
      <c r="AE338" t="s">
        <v>39</v>
      </c>
      <c r="AF338" t="str">
        <f t="shared" si="53"/>
        <v>White or Caucasian</v>
      </c>
    </row>
    <row r="339" spans="1:32" x14ac:dyDescent="0.45">
      <c r="A339" t="s">
        <v>1069</v>
      </c>
      <c r="B339" t="s">
        <v>25</v>
      </c>
      <c r="C339" s="3" t="s">
        <v>26</v>
      </c>
      <c r="D339" s="3">
        <f t="shared" si="45"/>
        <v>44840</v>
      </c>
      <c r="E339" t="s">
        <v>1070</v>
      </c>
      <c r="F339" s="4">
        <f t="shared" si="46"/>
        <v>0.9555555555555556</v>
      </c>
      <c r="G339" t="s">
        <v>1071</v>
      </c>
      <c r="H339" t="s">
        <v>30</v>
      </c>
      <c r="I339" t="str">
        <f t="shared" si="47"/>
        <v>Data Analyst</v>
      </c>
      <c r="J339" t="s">
        <v>31</v>
      </c>
      <c r="K339" t="s">
        <v>87</v>
      </c>
      <c r="L339">
        <f t="shared" si="48"/>
        <v>95.5</v>
      </c>
      <c r="M339" t="s">
        <v>426</v>
      </c>
      <c r="N339" t="str">
        <f t="shared" si="49"/>
        <v>Other</v>
      </c>
      <c r="O339" t="s">
        <v>46</v>
      </c>
      <c r="P339" t="str">
        <f t="shared" si="50"/>
        <v>R</v>
      </c>
      <c r="Q339">
        <v>7</v>
      </c>
      <c r="R339">
        <v>8</v>
      </c>
      <c r="S339">
        <v>8</v>
      </c>
      <c r="T339">
        <v>7</v>
      </c>
      <c r="U339">
        <v>5</v>
      </c>
      <c r="V339">
        <v>9</v>
      </c>
      <c r="W339" t="s">
        <v>85</v>
      </c>
      <c r="X339" t="s">
        <v>36</v>
      </c>
      <c r="Y339" t="s">
        <v>37</v>
      </c>
      <c r="Z339">
        <v>35</v>
      </c>
      <c r="AA339" t="s">
        <v>38</v>
      </c>
      <c r="AB339" t="str">
        <f t="shared" si="51"/>
        <v>United States</v>
      </c>
      <c r="AC339" t="s">
        <v>237</v>
      </c>
      <c r="AD339" t="str">
        <f t="shared" si="52"/>
        <v>Bachelors</v>
      </c>
      <c r="AE339" t="s">
        <v>39</v>
      </c>
      <c r="AF339" t="str">
        <f t="shared" si="53"/>
        <v>White or Caucasian</v>
      </c>
    </row>
    <row r="340" spans="1:32" x14ac:dyDescent="0.45">
      <c r="A340" t="s">
        <v>1072</v>
      </c>
      <c r="B340" t="s">
        <v>25</v>
      </c>
      <c r="C340" s="3" t="s">
        <v>26</v>
      </c>
      <c r="D340" s="3">
        <f t="shared" si="45"/>
        <v>44840</v>
      </c>
      <c r="E340" t="s">
        <v>1073</v>
      </c>
      <c r="F340" s="4">
        <f t="shared" si="46"/>
        <v>0.9604166666666667</v>
      </c>
      <c r="G340" t="s">
        <v>913</v>
      </c>
      <c r="H340" t="s">
        <v>30</v>
      </c>
      <c r="I340" t="str">
        <f t="shared" si="47"/>
        <v>Data Analyst</v>
      </c>
      <c r="J340" t="s">
        <v>31</v>
      </c>
      <c r="K340" t="s">
        <v>94</v>
      </c>
      <c r="L340">
        <f t="shared" si="48"/>
        <v>75.5</v>
      </c>
      <c r="M340" t="s">
        <v>794</v>
      </c>
      <c r="N340" t="str">
        <f t="shared" si="49"/>
        <v>Agriculture</v>
      </c>
      <c r="O340" t="s">
        <v>84</v>
      </c>
      <c r="P340" t="str">
        <f t="shared" si="50"/>
        <v>Other</v>
      </c>
      <c r="Q340">
        <v>8</v>
      </c>
      <c r="R340">
        <v>5</v>
      </c>
      <c r="S340">
        <v>6</v>
      </c>
      <c r="T340">
        <v>4</v>
      </c>
      <c r="U340">
        <v>4</v>
      </c>
      <c r="V340">
        <v>8</v>
      </c>
      <c r="W340" t="s">
        <v>55</v>
      </c>
      <c r="X340" t="s">
        <v>56</v>
      </c>
      <c r="Y340" t="s">
        <v>65</v>
      </c>
      <c r="Z340">
        <v>37</v>
      </c>
      <c r="AA340" t="s">
        <v>38</v>
      </c>
      <c r="AB340" t="str">
        <f t="shared" si="51"/>
        <v>United States</v>
      </c>
      <c r="AC340" t="s">
        <v>240</v>
      </c>
      <c r="AD340" t="str">
        <f t="shared" si="52"/>
        <v>Masters</v>
      </c>
      <c r="AE340" t="s">
        <v>39</v>
      </c>
      <c r="AF340" t="str">
        <f t="shared" si="53"/>
        <v>White or Caucasian</v>
      </c>
    </row>
    <row r="341" spans="1:32" x14ac:dyDescent="0.45">
      <c r="A341" t="s">
        <v>1074</v>
      </c>
      <c r="B341" t="s">
        <v>25</v>
      </c>
      <c r="C341" s="3" t="s">
        <v>26</v>
      </c>
      <c r="D341" s="3">
        <f t="shared" si="45"/>
        <v>44840</v>
      </c>
      <c r="E341" t="s">
        <v>1075</v>
      </c>
      <c r="F341" s="4">
        <f t="shared" si="46"/>
        <v>0.96388888888888891</v>
      </c>
      <c r="G341" t="s">
        <v>1076</v>
      </c>
      <c r="H341" t="s">
        <v>123</v>
      </c>
      <c r="I341" t="str">
        <f t="shared" si="47"/>
        <v>None</v>
      </c>
      <c r="J341" t="s">
        <v>31</v>
      </c>
      <c r="K341" t="s">
        <v>53</v>
      </c>
      <c r="L341">
        <f t="shared" si="48"/>
        <v>20</v>
      </c>
      <c r="M341" t="s">
        <v>45</v>
      </c>
      <c r="N341" t="str">
        <f t="shared" si="49"/>
        <v>Finance</v>
      </c>
      <c r="O341" t="s">
        <v>34</v>
      </c>
      <c r="P341" t="str">
        <f t="shared" si="50"/>
        <v>Python</v>
      </c>
      <c r="Q341">
        <v>4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 t="s">
        <v>64</v>
      </c>
      <c r="X341" t="s">
        <v>70</v>
      </c>
      <c r="Y341" t="s">
        <v>37</v>
      </c>
      <c r="Z341">
        <v>22</v>
      </c>
      <c r="AA341" t="s">
        <v>38</v>
      </c>
      <c r="AB341" t="str">
        <f t="shared" si="51"/>
        <v>United States</v>
      </c>
      <c r="AC341" t="s">
        <v>262</v>
      </c>
      <c r="AD341" t="str">
        <f t="shared" si="52"/>
        <v>Associates</v>
      </c>
      <c r="AE341" t="s">
        <v>1077</v>
      </c>
      <c r="AF341" t="str">
        <f t="shared" si="53"/>
        <v>Other</v>
      </c>
    </row>
    <row r="342" spans="1:32" x14ac:dyDescent="0.45">
      <c r="A342" t="s">
        <v>1078</v>
      </c>
      <c r="B342" t="s">
        <v>25</v>
      </c>
      <c r="C342" s="3" t="s">
        <v>26</v>
      </c>
      <c r="D342" s="3">
        <f t="shared" si="45"/>
        <v>44840</v>
      </c>
      <c r="E342" t="s">
        <v>1079</v>
      </c>
      <c r="F342" s="4">
        <f t="shared" si="46"/>
        <v>0.97083333333333333</v>
      </c>
      <c r="G342" t="s">
        <v>1080</v>
      </c>
      <c r="H342" t="s">
        <v>30</v>
      </c>
      <c r="I342" t="str">
        <f t="shared" si="47"/>
        <v>Data Analyst</v>
      </c>
      <c r="J342" t="s">
        <v>31</v>
      </c>
      <c r="K342" t="s">
        <v>94</v>
      </c>
      <c r="L342">
        <f t="shared" si="48"/>
        <v>75.5</v>
      </c>
      <c r="M342" t="s">
        <v>33</v>
      </c>
      <c r="N342" t="str">
        <f t="shared" si="49"/>
        <v>Healthcare</v>
      </c>
      <c r="O342" t="s">
        <v>34</v>
      </c>
      <c r="P342" t="str">
        <f t="shared" si="50"/>
        <v>Python</v>
      </c>
      <c r="Q342">
        <v>10</v>
      </c>
      <c r="R342">
        <v>10</v>
      </c>
      <c r="S342">
        <v>10</v>
      </c>
      <c r="T342">
        <v>7</v>
      </c>
      <c r="U342">
        <v>10</v>
      </c>
      <c r="V342">
        <v>10</v>
      </c>
      <c r="W342" t="s">
        <v>85</v>
      </c>
      <c r="X342" t="s">
        <v>70</v>
      </c>
      <c r="Y342" t="s">
        <v>37</v>
      </c>
      <c r="Z342">
        <v>36</v>
      </c>
      <c r="AA342" t="s">
        <v>38</v>
      </c>
      <c r="AB342" t="str">
        <f t="shared" si="51"/>
        <v>United States</v>
      </c>
      <c r="AC342" t="s">
        <v>240</v>
      </c>
      <c r="AD342" t="str">
        <f t="shared" si="52"/>
        <v>Masters</v>
      </c>
      <c r="AE342" t="s">
        <v>39</v>
      </c>
      <c r="AF342" t="str">
        <f t="shared" si="53"/>
        <v>White or Caucasian</v>
      </c>
    </row>
    <row r="343" spans="1:32" x14ac:dyDescent="0.45">
      <c r="A343" t="s">
        <v>1081</v>
      </c>
      <c r="B343" t="s">
        <v>25</v>
      </c>
      <c r="C343" s="3" t="s">
        <v>26</v>
      </c>
      <c r="D343" s="3">
        <f t="shared" si="45"/>
        <v>44840</v>
      </c>
      <c r="E343" t="s">
        <v>1082</v>
      </c>
      <c r="F343" s="4">
        <f t="shared" si="46"/>
        <v>0.97986111111111107</v>
      </c>
      <c r="G343" t="s">
        <v>358</v>
      </c>
      <c r="H343" t="s">
        <v>77</v>
      </c>
      <c r="I343" t="str">
        <f t="shared" si="47"/>
        <v>Data Scientist</v>
      </c>
      <c r="J343" t="s">
        <v>31</v>
      </c>
      <c r="K343" t="s">
        <v>87</v>
      </c>
      <c r="L343">
        <f t="shared" si="48"/>
        <v>95.5</v>
      </c>
      <c r="M343" t="s">
        <v>1083</v>
      </c>
      <c r="N343" t="str">
        <f t="shared" si="49"/>
        <v>Other</v>
      </c>
      <c r="O343" t="s">
        <v>34</v>
      </c>
      <c r="P343" t="str">
        <f t="shared" si="50"/>
        <v>Python</v>
      </c>
      <c r="Q343">
        <v>6</v>
      </c>
      <c r="R343">
        <v>5</v>
      </c>
      <c r="S343">
        <v>8</v>
      </c>
      <c r="T343">
        <v>8</v>
      </c>
      <c r="U343">
        <v>7</v>
      </c>
      <c r="V343">
        <v>9</v>
      </c>
      <c r="W343" t="s">
        <v>55</v>
      </c>
      <c r="X343" t="s">
        <v>56</v>
      </c>
      <c r="Y343" t="s">
        <v>37</v>
      </c>
      <c r="Z343">
        <v>26</v>
      </c>
      <c r="AA343" t="s">
        <v>147</v>
      </c>
      <c r="AB343" t="str">
        <f t="shared" si="51"/>
        <v>India</v>
      </c>
      <c r="AC343" t="s">
        <v>237</v>
      </c>
      <c r="AD343" t="str">
        <f t="shared" si="52"/>
        <v>Bachelors</v>
      </c>
      <c r="AE343" t="s">
        <v>91</v>
      </c>
      <c r="AF343" t="str">
        <f t="shared" si="53"/>
        <v>Hispanic or Latino</v>
      </c>
    </row>
    <row r="344" spans="1:32" x14ac:dyDescent="0.45">
      <c r="A344" t="s">
        <v>1084</v>
      </c>
      <c r="B344" t="s">
        <v>25</v>
      </c>
      <c r="C344" s="3" t="s">
        <v>26</v>
      </c>
      <c r="D344" s="3">
        <f t="shared" si="45"/>
        <v>44840</v>
      </c>
      <c r="E344" t="s">
        <v>1085</v>
      </c>
      <c r="F344" s="4">
        <f t="shared" si="46"/>
        <v>0.98263888888888884</v>
      </c>
      <c r="G344" t="s">
        <v>1086</v>
      </c>
      <c r="H344" t="s">
        <v>30</v>
      </c>
      <c r="I344" t="str">
        <f t="shared" si="47"/>
        <v>Data Analyst</v>
      </c>
      <c r="J344" t="s">
        <v>31</v>
      </c>
      <c r="K344" t="s">
        <v>53</v>
      </c>
      <c r="L344">
        <f t="shared" si="48"/>
        <v>20</v>
      </c>
      <c r="M344" t="s">
        <v>663</v>
      </c>
      <c r="N344" t="str">
        <f t="shared" si="49"/>
        <v>Other</v>
      </c>
      <c r="O344" t="s">
        <v>46</v>
      </c>
      <c r="P344" t="str">
        <f t="shared" si="50"/>
        <v>R</v>
      </c>
      <c r="Q344">
        <v>3</v>
      </c>
      <c r="R344">
        <v>2</v>
      </c>
      <c r="S344">
        <v>6</v>
      </c>
      <c r="T344">
        <v>5</v>
      </c>
      <c r="U344">
        <v>5</v>
      </c>
      <c r="V344">
        <v>6</v>
      </c>
      <c r="W344" t="s">
        <v>85</v>
      </c>
      <c r="X344" t="s">
        <v>114</v>
      </c>
      <c r="Y344" t="s">
        <v>65</v>
      </c>
      <c r="Z344">
        <v>25</v>
      </c>
      <c r="AA344" t="s">
        <v>1087</v>
      </c>
      <c r="AB344" t="str">
        <f t="shared" si="51"/>
        <v>Other</v>
      </c>
      <c r="AC344" t="s">
        <v>237</v>
      </c>
      <c r="AD344" t="str">
        <f t="shared" si="52"/>
        <v>Bachelors</v>
      </c>
      <c r="AE344" t="s">
        <v>48</v>
      </c>
      <c r="AF344" t="str">
        <f t="shared" si="53"/>
        <v>Asian or Asian American</v>
      </c>
    </row>
    <row r="345" spans="1:32" x14ac:dyDescent="0.45">
      <c r="A345" t="s">
        <v>1088</v>
      </c>
      <c r="B345" t="s">
        <v>25</v>
      </c>
      <c r="C345" s="3" t="s">
        <v>26</v>
      </c>
      <c r="D345" s="3">
        <f t="shared" si="45"/>
        <v>44840</v>
      </c>
      <c r="E345" t="s">
        <v>1089</v>
      </c>
      <c r="F345" s="4">
        <f t="shared" si="46"/>
        <v>0.98333333333333328</v>
      </c>
      <c r="G345" t="s">
        <v>913</v>
      </c>
      <c r="H345" t="s">
        <v>30</v>
      </c>
      <c r="I345" t="str">
        <f t="shared" si="47"/>
        <v>Data Analyst</v>
      </c>
      <c r="J345" t="s">
        <v>31</v>
      </c>
      <c r="K345" t="s">
        <v>44</v>
      </c>
      <c r="L345">
        <f t="shared" si="48"/>
        <v>53</v>
      </c>
      <c r="M345" t="s">
        <v>1090</v>
      </c>
      <c r="N345" t="str">
        <f t="shared" si="49"/>
        <v>Other</v>
      </c>
      <c r="O345" t="s">
        <v>46</v>
      </c>
      <c r="P345" t="str">
        <f t="shared" si="50"/>
        <v>R</v>
      </c>
      <c r="Q345">
        <v>4</v>
      </c>
      <c r="R345">
        <v>6</v>
      </c>
      <c r="S345">
        <v>6</v>
      </c>
      <c r="T345">
        <v>5</v>
      </c>
      <c r="U345">
        <v>5</v>
      </c>
      <c r="V345">
        <v>6</v>
      </c>
      <c r="W345" t="s">
        <v>85</v>
      </c>
      <c r="X345" t="s">
        <v>36</v>
      </c>
      <c r="Y345" t="s">
        <v>65</v>
      </c>
      <c r="Z345">
        <v>34</v>
      </c>
      <c r="AA345" t="s">
        <v>38</v>
      </c>
      <c r="AB345" t="str">
        <f t="shared" si="51"/>
        <v>United States</v>
      </c>
      <c r="AC345" t="s">
        <v>227</v>
      </c>
      <c r="AD345" t="str">
        <f t="shared" si="52"/>
        <v>High School</v>
      </c>
      <c r="AE345" t="s">
        <v>39</v>
      </c>
      <c r="AF345" t="str">
        <f t="shared" si="53"/>
        <v>White or Caucasian</v>
      </c>
    </row>
    <row r="346" spans="1:32" x14ac:dyDescent="0.45">
      <c r="A346" t="s">
        <v>1091</v>
      </c>
      <c r="B346" t="s">
        <v>25</v>
      </c>
      <c r="C346" s="3" t="s">
        <v>26</v>
      </c>
      <c r="D346" s="3">
        <f t="shared" si="45"/>
        <v>44840</v>
      </c>
      <c r="E346" t="s">
        <v>1092</v>
      </c>
      <c r="F346" s="4">
        <f t="shared" si="46"/>
        <v>0.98402777777777772</v>
      </c>
      <c r="G346" t="s">
        <v>690</v>
      </c>
      <c r="H346" t="s">
        <v>30</v>
      </c>
      <c r="I346" t="str">
        <f t="shared" si="47"/>
        <v>Data Analyst</v>
      </c>
      <c r="J346" t="s">
        <v>31</v>
      </c>
      <c r="K346" t="s">
        <v>53</v>
      </c>
      <c r="L346">
        <f t="shared" si="48"/>
        <v>20</v>
      </c>
      <c r="M346" t="s">
        <v>1093</v>
      </c>
      <c r="N346" t="str">
        <f t="shared" si="49"/>
        <v>Other</v>
      </c>
      <c r="O346" t="s">
        <v>34</v>
      </c>
      <c r="P346" t="str">
        <f t="shared" si="50"/>
        <v>Python</v>
      </c>
      <c r="Q346">
        <v>4</v>
      </c>
      <c r="R346">
        <v>8</v>
      </c>
      <c r="S346">
        <v>8</v>
      </c>
      <c r="T346">
        <v>8</v>
      </c>
      <c r="U346">
        <v>7</v>
      </c>
      <c r="V346">
        <v>8</v>
      </c>
      <c r="W346" t="s">
        <v>69</v>
      </c>
      <c r="X346" t="s">
        <v>36</v>
      </c>
      <c r="Y346" t="s">
        <v>37</v>
      </c>
      <c r="Z346">
        <v>33</v>
      </c>
      <c r="AA346" t="s">
        <v>359</v>
      </c>
      <c r="AB346" t="str">
        <f t="shared" si="51"/>
        <v>Other</v>
      </c>
      <c r="AC346" t="s">
        <v>237</v>
      </c>
      <c r="AD346" t="str">
        <f t="shared" si="52"/>
        <v>Bachelors</v>
      </c>
      <c r="AE346" t="s">
        <v>91</v>
      </c>
      <c r="AF346" t="str">
        <f t="shared" si="53"/>
        <v>Hispanic or Latino</v>
      </c>
    </row>
    <row r="347" spans="1:32" x14ac:dyDescent="0.45">
      <c r="A347" t="s">
        <v>1094</v>
      </c>
      <c r="B347" t="s">
        <v>25</v>
      </c>
      <c r="C347" s="3" t="s">
        <v>26</v>
      </c>
      <c r="D347" s="3">
        <f t="shared" si="45"/>
        <v>44840</v>
      </c>
      <c r="E347" t="s">
        <v>1095</v>
      </c>
      <c r="F347" s="4">
        <f t="shared" si="46"/>
        <v>0.99236111111111114</v>
      </c>
      <c r="G347" t="s">
        <v>425</v>
      </c>
      <c r="H347" t="s">
        <v>123</v>
      </c>
      <c r="I347" t="str">
        <f t="shared" si="47"/>
        <v>None</v>
      </c>
      <c r="J347" t="s">
        <v>43</v>
      </c>
      <c r="K347" t="s">
        <v>44</v>
      </c>
      <c r="L347">
        <f t="shared" si="48"/>
        <v>53</v>
      </c>
      <c r="M347" t="s">
        <v>83</v>
      </c>
      <c r="N347" t="str">
        <f t="shared" si="49"/>
        <v>Other</v>
      </c>
      <c r="O347" t="s">
        <v>34</v>
      </c>
      <c r="P347" t="str">
        <f t="shared" si="50"/>
        <v>Python</v>
      </c>
      <c r="Q347">
        <v>0</v>
      </c>
      <c r="R347">
        <v>4</v>
      </c>
      <c r="S347">
        <v>0</v>
      </c>
      <c r="T347">
        <v>1</v>
      </c>
      <c r="U347">
        <v>4</v>
      </c>
      <c r="V347">
        <v>2</v>
      </c>
      <c r="W347" t="s">
        <v>35</v>
      </c>
      <c r="X347" t="s">
        <v>56</v>
      </c>
      <c r="Y347" t="s">
        <v>37</v>
      </c>
      <c r="Z347">
        <v>37</v>
      </c>
      <c r="AA347" t="s">
        <v>38</v>
      </c>
      <c r="AB347" t="str">
        <f t="shared" si="51"/>
        <v>United States</v>
      </c>
      <c r="AC347" t="s">
        <v>237</v>
      </c>
      <c r="AD347" t="str">
        <f t="shared" si="52"/>
        <v>Bachelors</v>
      </c>
      <c r="AE347" t="s">
        <v>39</v>
      </c>
      <c r="AF347" t="str">
        <f t="shared" si="53"/>
        <v>White or Caucasian</v>
      </c>
    </row>
    <row r="348" spans="1:32" x14ac:dyDescent="0.45">
      <c r="A348" t="s">
        <v>1096</v>
      </c>
      <c r="B348" t="s">
        <v>25</v>
      </c>
      <c r="C348" s="3" t="s">
        <v>26</v>
      </c>
      <c r="D348" s="3">
        <f t="shared" si="45"/>
        <v>44840</v>
      </c>
      <c r="E348" t="s">
        <v>1097</v>
      </c>
      <c r="F348" s="4">
        <f t="shared" si="46"/>
        <v>0.99375000000000002</v>
      </c>
      <c r="G348" t="s">
        <v>89</v>
      </c>
      <c r="H348" t="s">
        <v>30</v>
      </c>
      <c r="I348" t="str">
        <f t="shared" si="47"/>
        <v>Data Analyst</v>
      </c>
      <c r="J348" t="s">
        <v>43</v>
      </c>
      <c r="K348" t="s">
        <v>94</v>
      </c>
      <c r="L348">
        <f t="shared" si="48"/>
        <v>75.5</v>
      </c>
      <c r="M348" t="s">
        <v>340</v>
      </c>
      <c r="N348" t="str">
        <f t="shared" si="49"/>
        <v>Other</v>
      </c>
      <c r="O348" t="s">
        <v>34</v>
      </c>
      <c r="P348" t="str">
        <f t="shared" si="50"/>
        <v>Python</v>
      </c>
      <c r="Q348">
        <v>5</v>
      </c>
      <c r="R348">
        <v>5</v>
      </c>
      <c r="S348">
        <v>7</v>
      </c>
      <c r="T348">
        <v>6</v>
      </c>
      <c r="U348">
        <v>4</v>
      </c>
      <c r="V348">
        <v>6</v>
      </c>
      <c r="W348" t="s">
        <v>64</v>
      </c>
      <c r="X348" t="s">
        <v>70</v>
      </c>
      <c r="Y348" t="s">
        <v>65</v>
      </c>
      <c r="Z348">
        <v>54</v>
      </c>
      <c r="AA348" t="s">
        <v>38</v>
      </c>
      <c r="AB348" t="str">
        <f t="shared" si="51"/>
        <v>United States</v>
      </c>
      <c r="AC348" t="s">
        <v>227</v>
      </c>
      <c r="AD348" t="str">
        <f t="shared" si="52"/>
        <v>High School</v>
      </c>
      <c r="AE348" t="s">
        <v>39</v>
      </c>
      <c r="AF348" t="str">
        <f t="shared" si="53"/>
        <v>White or Caucasian</v>
      </c>
    </row>
    <row r="349" spans="1:32" x14ac:dyDescent="0.45">
      <c r="A349" t="s">
        <v>1098</v>
      </c>
      <c r="B349" t="s">
        <v>25</v>
      </c>
      <c r="C349" s="3" t="s">
        <v>1099</v>
      </c>
      <c r="D349" s="3">
        <f t="shared" si="45"/>
        <v>44871</v>
      </c>
      <c r="E349" t="s">
        <v>1100</v>
      </c>
      <c r="F349" s="4">
        <f t="shared" si="46"/>
        <v>1.2500000000000001E-2</v>
      </c>
      <c r="G349" t="s">
        <v>700</v>
      </c>
      <c r="H349" t="s">
        <v>30</v>
      </c>
      <c r="I349" t="str">
        <f t="shared" si="47"/>
        <v>Data Analyst</v>
      </c>
      <c r="J349" t="s">
        <v>31</v>
      </c>
      <c r="K349" t="s">
        <v>53</v>
      </c>
      <c r="L349">
        <f t="shared" si="48"/>
        <v>20</v>
      </c>
      <c r="M349" t="s">
        <v>45</v>
      </c>
      <c r="N349" t="str">
        <f t="shared" si="49"/>
        <v>Finance</v>
      </c>
      <c r="O349" t="s">
        <v>34</v>
      </c>
      <c r="P349" t="str">
        <f t="shared" si="50"/>
        <v>Python</v>
      </c>
      <c r="Q349">
        <v>2</v>
      </c>
      <c r="R349" t="s">
        <v>28</v>
      </c>
      <c r="S349" t="s">
        <v>28</v>
      </c>
      <c r="T349" t="s">
        <v>28</v>
      </c>
      <c r="U349" t="s">
        <v>28</v>
      </c>
      <c r="V349" t="s">
        <v>28</v>
      </c>
      <c r="W349" t="s">
        <v>64</v>
      </c>
      <c r="X349" t="s">
        <v>70</v>
      </c>
      <c r="Y349" t="s">
        <v>37</v>
      </c>
      <c r="Z349">
        <v>26</v>
      </c>
      <c r="AA349" t="s">
        <v>147</v>
      </c>
      <c r="AB349" t="str">
        <f t="shared" si="51"/>
        <v>India</v>
      </c>
      <c r="AC349" t="s">
        <v>237</v>
      </c>
      <c r="AD349" t="str">
        <f t="shared" si="52"/>
        <v>Bachelors</v>
      </c>
      <c r="AE349" t="s">
        <v>48</v>
      </c>
      <c r="AF349" t="str">
        <f t="shared" si="53"/>
        <v>Asian or Asian American</v>
      </c>
    </row>
    <row r="350" spans="1:32" x14ac:dyDescent="0.45">
      <c r="A350" t="s">
        <v>1101</v>
      </c>
      <c r="B350" t="s">
        <v>25</v>
      </c>
      <c r="C350" s="3" t="s">
        <v>1099</v>
      </c>
      <c r="D350" s="3">
        <f t="shared" si="45"/>
        <v>44871</v>
      </c>
      <c r="E350" t="s">
        <v>1102</v>
      </c>
      <c r="F350" s="4">
        <f t="shared" si="46"/>
        <v>1.8055555555555554E-2</v>
      </c>
      <c r="G350" t="s">
        <v>881</v>
      </c>
      <c r="H350" t="s">
        <v>30</v>
      </c>
      <c r="I350" t="str">
        <f t="shared" si="47"/>
        <v>Data Analyst</v>
      </c>
      <c r="J350" t="s">
        <v>43</v>
      </c>
      <c r="K350" t="s">
        <v>44</v>
      </c>
      <c r="L350">
        <f t="shared" si="48"/>
        <v>53</v>
      </c>
      <c r="M350" t="s">
        <v>108</v>
      </c>
      <c r="N350" t="str">
        <f t="shared" si="49"/>
        <v>Education</v>
      </c>
      <c r="O350" t="s">
        <v>46</v>
      </c>
      <c r="P350" t="str">
        <f t="shared" si="50"/>
        <v>R</v>
      </c>
      <c r="Q350">
        <v>4</v>
      </c>
      <c r="R350">
        <v>7</v>
      </c>
      <c r="S350">
        <v>7</v>
      </c>
      <c r="T350">
        <v>7</v>
      </c>
      <c r="U350">
        <v>2</v>
      </c>
      <c r="V350">
        <v>7</v>
      </c>
      <c r="W350" t="s">
        <v>85</v>
      </c>
      <c r="X350" t="s">
        <v>70</v>
      </c>
      <c r="Y350" t="s">
        <v>65</v>
      </c>
      <c r="Z350">
        <v>27</v>
      </c>
      <c r="AA350" t="s">
        <v>38</v>
      </c>
      <c r="AB350" t="str">
        <f t="shared" si="51"/>
        <v>United States</v>
      </c>
      <c r="AC350" t="s">
        <v>240</v>
      </c>
      <c r="AD350" t="str">
        <f t="shared" si="52"/>
        <v>Masters</v>
      </c>
      <c r="AE350" t="s">
        <v>91</v>
      </c>
      <c r="AF350" t="str">
        <f t="shared" si="53"/>
        <v>Hispanic or Latino</v>
      </c>
    </row>
    <row r="351" spans="1:32" x14ac:dyDescent="0.45">
      <c r="A351" t="s">
        <v>1103</v>
      </c>
      <c r="B351" t="s">
        <v>25</v>
      </c>
      <c r="C351" s="3" t="s">
        <v>1099</v>
      </c>
      <c r="D351" s="3">
        <f t="shared" si="45"/>
        <v>44871</v>
      </c>
      <c r="E351" t="s">
        <v>1102</v>
      </c>
      <c r="F351" s="4">
        <f t="shared" si="46"/>
        <v>1.8055555555555554E-2</v>
      </c>
      <c r="G351" t="s">
        <v>1104</v>
      </c>
      <c r="H351" t="s">
        <v>790</v>
      </c>
      <c r="I351" t="str">
        <f t="shared" si="47"/>
        <v>Database Developer</v>
      </c>
      <c r="J351" t="s">
        <v>31</v>
      </c>
      <c r="K351" t="s">
        <v>53</v>
      </c>
      <c r="L351">
        <f t="shared" si="48"/>
        <v>20</v>
      </c>
      <c r="M351" t="s">
        <v>90</v>
      </c>
      <c r="N351" t="str">
        <f t="shared" si="49"/>
        <v>Telecommunication</v>
      </c>
      <c r="O351" t="s">
        <v>318</v>
      </c>
      <c r="P351" t="str">
        <f t="shared" si="50"/>
        <v>Other</v>
      </c>
      <c r="Q351">
        <v>2</v>
      </c>
      <c r="R351">
        <v>3</v>
      </c>
      <c r="S351">
        <v>6</v>
      </c>
      <c r="T351">
        <v>6</v>
      </c>
      <c r="U351">
        <v>3</v>
      </c>
      <c r="V351">
        <v>5</v>
      </c>
      <c r="W351" t="s">
        <v>69</v>
      </c>
      <c r="X351" t="s">
        <v>70</v>
      </c>
      <c r="Y351" t="s">
        <v>37</v>
      </c>
      <c r="Z351">
        <v>24</v>
      </c>
      <c r="AA351" t="s">
        <v>109</v>
      </c>
      <c r="AB351" t="str">
        <f t="shared" si="51"/>
        <v>United Kingdom</v>
      </c>
      <c r="AC351" t="s">
        <v>237</v>
      </c>
      <c r="AD351" t="str">
        <f t="shared" si="52"/>
        <v>Bachelors</v>
      </c>
      <c r="AE351" t="s">
        <v>39</v>
      </c>
      <c r="AF351" t="str">
        <f t="shared" si="53"/>
        <v>White or Caucasian</v>
      </c>
    </row>
    <row r="352" spans="1:32" x14ac:dyDescent="0.45">
      <c r="A352" t="s">
        <v>1105</v>
      </c>
      <c r="B352" t="s">
        <v>25</v>
      </c>
      <c r="C352" s="3" t="s">
        <v>1099</v>
      </c>
      <c r="D352" s="3">
        <f t="shared" si="45"/>
        <v>44871</v>
      </c>
      <c r="E352" t="s">
        <v>1106</v>
      </c>
      <c r="F352" s="4">
        <f t="shared" si="46"/>
        <v>3.1944444444444442E-2</v>
      </c>
      <c r="G352" t="s">
        <v>333</v>
      </c>
      <c r="H352" t="s">
        <v>30</v>
      </c>
      <c r="I352" t="str">
        <f t="shared" si="47"/>
        <v>Data Analyst</v>
      </c>
      <c r="J352" t="s">
        <v>31</v>
      </c>
      <c r="K352" t="s">
        <v>53</v>
      </c>
      <c r="L352">
        <f t="shared" si="48"/>
        <v>20</v>
      </c>
      <c r="M352" t="s">
        <v>45</v>
      </c>
      <c r="N352" t="str">
        <f t="shared" si="49"/>
        <v>Finance</v>
      </c>
      <c r="O352" t="s">
        <v>34</v>
      </c>
      <c r="P352" t="str">
        <f t="shared" si="50"/>
        <v>Python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10</v>
      </c>
      <c r="W352" t="s">
        <v>85</v>
      </c>
      <c r="X352" t="s">
        <v>70</v>
      </c>
      <c r="Y352" t="s">
        <v>37</v>
      </c>
      <c r="Z352">
        <v>24</v>
      </c>
      <c r="AA352" t="s">
        <v>444</v>
      </c>
      <c r="AB352" t="str">
        <f t="shared" si="51"/>
        <v>Other</v>
      </c>
      <c r="AC352" t="s">
        <v>237</v>
      </c>
      <c r="AD352" t="str">
        <f t="shared" si="52"/>
        <v>Bachelors</v>
      </c>
      <c r="AE352" t="s">
        <v>39</v>
      </c>
      <c r="AF352" t="str">
        <f t="shared" si="53"/>
        <v>White or Caucasian</v>
      </c>
    </row>
    <row r="353" spans="1:32" x14ac:dyDescent="0.45">
      <c r="A353" t="s">
        <v>1107</v>
      </c>
      <c r="B353" t="s">
        <v>25</v>
      </c>
      <c r="C353" s="3" t="s">
        <v>1099</v>
      </c>
      <c r="D353" s="3">
        <f t="shared" si="45"/>
        <v>44871</v>
      </c>
      <c r="E353" t="s">
        <v>1108</v>
      </c>
      <c r="F353" s="4">
        <f t="shared" si="46"/>
        <v>4.3055555555555555E-2</v>
      </c>
      <c r="G353" t="s">
        <v>93</v>
      </c>
      <c r="H353" t="s">
        <v>1109</v>
      </c>
      <c r="I353" t="str">
        <f t="shared" si="47"/>
        <v>Other</v>
      </c>
      <c r="J353" t="s">
        <v>31</v>
      </c>
      <c r="K353" t="s">
        <v>53</v>
      </c>
      <c r="L353">
        <f t="shared" si="48"/>
        <v>20</v>
      </c>
      <c r="M353" t="s">
        <v>393</v>
      </c>
      <c r="N353" t="str">
        <f t="shared" si="49"/>
        <v>Other</v>
      </c>
      <c r="O353" t="s">
        <v>34</v>
      </c>
      <c r="P353" t="str">
        <f t="shared" si="50"/>
        <v>Python</v>
      </c>
      <c r="Q353">
        <v>3</v>
      </c>
      <c r="R353">
        <v>4</v>
      </c>
      <c r="S353">
        <v>5</v>
      </c>
      <c r="T353">
        <v>3</v>
      </c>
      <c r="U353">
        <v>2</v>
      </c>
      <c r="V353">
        <v>3</v>
      </c>
      <c r="W353" t="s">
        <v>85</v>
      </c>
      <c r="X353" t="s">
        <v>70</v>
      </c>
      <c r="Y353" t="s">
        <v>37</v>
      </c>
      <c r="Z353">
        <v>27</v>
      </c>
      <c r="AA353" t="s">
        <v>1110</v>
      </c>
      <c r="AB353" t="str">
        <f t="shared" si="51"/>
        <v>Other</v>
      </c>
      <c r="AC353" t="s">
        <v>237</v>
      </c>
      <c r="AD353" t="str">
        <f t="shared" si="52"/>
        <v>Bachelors</v>
      </c>
      <c r="AE353" t="s">
        <v>39</v>
      </c>
      <c r="AF353" t="str">
        <f t="shared" si="53"/>
        <v>White or Caucasian</v>
      </c>
    </row>
    <row r="354" spans="1:32" x14ac:dyDescent="0.45">
      <c r="A354" t="s">
        <v>1111</v>
      </c>
      <c r="B354" t="s">
        <v>25</v>
      </c>
      <c r="C354" s="3" t="s">
        <v>1099</v>
      </c>
      <c r="D354" s="3">
        <f t="shared" si="45"/>
        <v>44871</v>
      </c>
      <c r="E354" t="s">
        <v>1112</v>
      </c>
      <c r="F354" s="4">
        <f t="shared" si="46"/>
        <v>4.4444444444444446E-2</v>
      </c>
      <c r="G354" t="s">
        <v>171</v>
      </c>
      <c r="H354" t="s">
        <v>123</v>
      </c>
      <c r="I354" t="str">
        <f t="shared" si="47"/>
        <v>None</v>
      </c>
      <c r="J354" t="s">
        <v>43</v>
      </c>
      <c r="K354" t="s">
        <v>53</v>
      </c>
      <c r="L354">
        <f t="shared" si="48"/>
        <v>20</v>
      </c>
      <c r="M354" t="s">
        <v>843</v>
      </c>
      <c r="N354" t="str">
        <f t="shared" si="49"/>
        <v>Other</v>
      </c>
      <c r="O354" t="s">
        <v>34</v>
      </c>
      <c r="P354" t="str">
        <f t="shared" si="50"/>
        <v>Python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35</v>
      </c>
      <c r="X354" t="s">
        <v>36</v>
      </c>
      <c r="Y354" t="s">
        <v>37</v>
      </c>
      <c r="Z354">
        <v>25</v>
      </c>
      <c r="AA354" t="s">
        <v>1113</v>
      </c>
      <c r="AB354" t="str">
        <f t="shared" si="51"/>
        <v>Other</v>
      </c>
      <c r="AC354" t="s">
        <v>237</v>
      </c>
      <c r="AD354" t="str">
        <f t="shared" si="52"/>
        <v>Bachelors</v>
      </c>
      <c r="AE354" t="s">
        <v>48</v>
      </c>
      <c r="AF354" t="str">
        <f t="shared" si="53"/>
        <v>Asian or Asian American</v>
      </c>
    </row>
    <row r="355" spans="1:32" x14ac:dyDescent="0.45">
      <c r="A355" t="s">
        <v>1114</v>
      </c>
      <c r="B355" t="s">
        <v>25</v>
      </c>
      <c r="C355" s="3" t="s">
        <v>1099</v>
      </c>
      <c r="D355" s="3">
        <f t="shared" si="45"/>
        <v>44871</v>
      </c>
      <c r="E355" t="s">
        <v>1115</v>
      </c>
      <c r="F355" s="4">
        <f t="shared" si="46"/>
        <v>5.1388888888888887E-2</v>
      </c>
      <c r="G355" t="s">
        <v>224</v>
      </c>
      <c r="H355" t="s">
        <v>30</v>
      </c>
      <c r="I355" t="str">
        <f t="shared" si="47"/>
        <v>Data Analyst</v>
      </c>
      <c r="J355" t="s">
        <v>31</v>
      </c>
      <c r="K355" t="s">
        <v>53</v>
      </c>
      <c r="L355">
        <f t="shared" si="48"/>
        <v>20</v>
      </c>
      <c r="M355" t="s">
        <v>103</v>
      </c>
      <c r="N355" t="str">
        <f t="shared" si="49"/>
        <v>Tech</v>
      </c>
      <c r="O355" t="s">
        <v>34</v>
      </c>
      <c r="P355" t="str">
        <f t="shared" si="50"/>
        <v>Python</v>
      </c>
      <c r="Q355">
        <v>1</v>
      </c>
      <c r="R355">
        <v>7</v>
      </c>
      <c r="S355">
        <v>7</v>
      </c>
      <c r="T355">
        <v>7</v>
      </c>
      <c r="U355">
        <v>7</v>
      </c>
      <c r="V355">
        <v>1</v>
      </c>
      <c r="W355" t="s">
        <v>69</v>
      </c>
      <c r="X355" t="s">
        <v>70</v>
      </c>
      <c r="Y355" t="s">
        <v>65</v>
      </c>
      <c r="Z355">
        <v>28</v>
      </c>
      <c r="AA355" t="s">
        <v>109</v>
      </c>
      <c r="AB355" t="str">
        <f t="shared" si="51"/>
        <v>United Kingdom</v>
      </c>
      <c r="AC355" t="s">
        <v>240</v>
      </c>
      <c r="AD355" t="str">
        <f t="shared" si="52"/>
        <v>Masters</v>
      </c>
      <c r="AE355" t="s">
        <v>58</v>
      </c>
      <c r="AF355" t="str">
        <f t="shared" si="53"/>
        <v>Black or African American</v>
      </c>
    </row>
    <row r="356" spans="1:32" x14ac:dyDescent="0.45">
      <c r="A356" t="s">
        <v>1116</v>
      </c>
      <c r="B356" t="s">
        <v>25</v>
      </c>
      <c r="C356" s="3" t="s">
        <v>1099</v>
      </c>
      <c r="D356" s="3">
        <f t="shared" si="45"/>
        <v>44871</v>
      </c>
      <c r="E356" t="s">
        <v>1117</v>
      </c>
      <c r="F356" s="4">
        <f t="shared" si="46"/>
        <v>5.2777777777777778E-2</v>
      </c>
      <c r="G356" t="s">
        <v>131</v>
      </c>
      <c r="H356" t="s">
        <v>1118</v>
      </c>
      <c r="I356" t="str">
        <f t="shared" si="47"/>
        <v>Other</v>
      </c>
      <c r="J356" t="s">
        <v>43</v>
      </c>
      <c r="K356" t="s">
        <v>44</v>
      </c>
      <c r="L356">
        <f t="shared" si="48"/>
        <v>53</v>
      </c>
      <c r="M356" t="s">
        <v>108</v>
      </c>
      <c r="N356" t="str">
        <f t="shared" si="49"/>
        <v>Education</v>
      </c>
      <c r="O356" t="s">
        <v>34</v>
      </c>
      <c r="P356" t="str">
        <f t="shared" si="50"/>
        <v>Python</v>
      </c>
      <c r="Q356">
        <v>3</v>
      </c>
      <c r="R356">
        <v>6</v>
      </c>
      <c r="S356">
        <v>5</v>
      </c>
      <c r="T356">
        <v>5</v>
      </c>
      <c r="U356">
        <v>3</v>
      </c>
      <c r="V356">
        <v>4</v>
      </c>
      <c r="W356" t="s">
        <v>55</v>
      </c>
      <c r="X356" t="s">
        <v>36</v>
      </c>
      <c r="Y356" t="s">
        <v>37</v>
      </c>
      <c r="Z356">
        <v>21</v>
      </c>
      <c r="AA356" t="s">
        <v>38</v>
      </c>
      <c r="AB356" t="str">
        <f t="shared" si="51"/>
        <v>United States</v>
      </c>
      <c r="AC356" t="s">
        <v>237</v>
      </c>
      <c r="AD356" t="str">
        <f t="shared" si="52"/>
        <v>Bachelors</v>
      </c>
      <c r="AE356" t="s">
        <v>48</v>
      </c>
      <c r="AF356" t="str">
        <f t="shared" si="53"/>
        <v>Asian or Asian American</v>
      </c>
    </row>
    <row r="357" spans="1:32" x14ac:dyDescent="0.45">
      <c r="A357" t="s">
        <v>1119</v>
      </c>
      <c r="B357" t="s">
        <v>25</v>
      </c>
      <c r="C357" s="3" t="s">
        <v>1099</v>
      </c>
      <c r="D357" s="3">
        <f t="shared" si="45"/>
        <v>44871</v>
      </c>
      <c r="E357" t="s">
        <v>1120</v>
      </c>
      <c r="F357" s="4">
        <f t="shared" si="46"/>
        <v>5.486111111111111E-2</v>
      </c>
      <c r="G357" t="s">
        <v>76</v>
      </c>
      <c r="H357" t="s">
        <v>30</v>
      </c>
      <c r="I357" t="str">
        <f t="shared" si="47"/>
        <v>Data Analyst</v>
      </c>
      <c r="J357" t="s">
        <v>31</v>
      </c>
      <c r="K357" t="s">
        <v>87</v>
      </c>
      <c r="L357">
        <f t="shared" si="48"/>
        <v>95.5</v>
      </c>
      <c r="M357" t="s">
        <v>33</v>
      </c>
      <c r="N357" t="str">
        <f t="shared" si="49"/>
        <v>Healthcare</v>
      </c>
      <c r="O357" t="s">
        <v>376</v>
      </c>
      <c r="P357" t="str">
        <f t="shared" si="50"/>
        <v>Other</v>
      </c>
      <c r="Q357">
        <v>4</v>
      </c>
      <c r="R357">
        <v>4</v>
      </c>
      <c r="S357">
        <v>5</v>
      </c>
      <c r="T357">
        <v>5</v>
      </c>
      <c r="U357">
        <v>4</v>
      </c>
      <c r="V357">
        <v>6</v>
      </c>
      <c r="W357" t="s">
        <v>69</v>
      </c>
      <c r="X357" t="s">
        <v>56</v>
      </c>
      <c r="Y357" t="s">
        <v>65</v>
      </c>
      <c r="Z357">
        <v>28</v>
      </c>
      <c r="AA357" t="s">
        <v>38</v>
      </c>
      <c r="AB357" t="str">
        <f t="shared" si="51"/>
        <v>United States</v>
      </c>
      <c r="AC357" t="s">
        <v>237</v>
      </c>
      <c r="AD357" t="str">
        <f t="shared" si="52"/>
        <v>Bachelors</v>
      </c>
      <c r="AE357" t="s">
        <v>39</v>
      </c>
      <c r="AF357" t="str">
        <f t="shared" si="53"/>
        <v>White or Caucasian</v>
      </c>
    </row>
    <row r="358" spans="1:32" x14ac:dyDescent="0.45">
      <c r="A358" t="s">
        <v>1121</v>
      </c>
      <c r="B358" t="s">
        <v>25</v>
      </c>
      <c r="C358" s="3" t="s">
        <v>1099</v>
      </c>
      <c r="D358" s="3">
        <f t="shared" si="45"/>
        <v>44871</v>
      </c>
      <c r="E358" t="s">
        <v>1122</v>
      </c>
      <c r="F358" s="4">
        <f t="shared" si="46"/>
        <v>5.8333333333333334E-2</v>
      </c>
      <c r="G358" t="s">
        <v>102</v>
      </c>
      <c r="H358" t="s">
        <v>30</v>
      </c>
      <c r="I358" t="str">
        <f t="shared" si="47"/>
        <v>Data Analyst</v>
      </c>
      <c r="J358" t="s">
        <v>31</v>
      </c>
      <c r="K358" t="s">
        <v>53</v>
      </c>
      <c r="L358">
        <f t="shared" si="48"/>
        <v>20</v>
      </c>
      <c r="M358" t="s">
        <v>103</v>
      </c>
      <c r="N358" t="str">
        <f t="shared" si="49"/>
        <v>Tech</v>
      </c>
      <c r="O358" t="s">
        <v>34</v>
      </c>
      <c r="P358" t="str">
        <f t="shared" si="50"/>
        <v>Python</v>
      </c>
      <c r="Q358">
        <v>3</v>
      </c>
      <c r="R358">
        <v>5</v>
      </c>
      <c r="S358">
        <v>5</v>
      </c>
      <c r="T358">
        <v>5</v>
      </c>
      <c r="U358">
        <v>5</v>
      </c>
      <c r="V358">
        <v>2</v>
      </c>
      <c r="W358" t="s">
        <v>85</v>
      </c>
      <c r="X358" t="s">
        <v>36</v>
      </c>
      <c r="Y358" t="s">
        <v>37</v>
      </c>
      <c r="Z358">
        <v>30</v>
      </c>
      <c r="AA358" t="s">
        <v>796</v>
      </c>
      <c r="AB358" t="str">
        <f t="shared" si="51"/>
        <v>Other</v>
      </c>
      <c r="AC358" t="s">
        <v>240</v>
      </c>
      <c r="AD358" t="str">
        <f t="shared" si="52"/>
        <v>Masters</v>
      </c>
      <c r="AE358" t="s">
        <v>58</v>
      </c>
      <c r="AF358" t="str">
        <f t="shared" si="53"/>
        <v>Black or African American</v>
      </c>
    </row>
    <row r="359" spans="1:32" x14ac:dyDescent="0.45">
      <c r="A359" t="s">
        <v>1123</v>
      </c>
      <c r="B359" t="s">
        <v>25</v>
      </c>
      <c r="C359" s="3" t="s">
        <v>1099</v>
      </c>
      <c r="D359" s="3">
        <f t="shared" si="45"/>
        <v>44871</v>
      </c>
      <c r="E359" t="s">
        <v>1124</v>
      </c>
      <c r="F359" s="4">
        <f t="shared" si="46"/>
        <v>6.6666666666666666E-2</v>
      </c>
      <c r="G359" t="s">
        <v>210</v>
      </c>
      <c r="H359" t="s">
        <v>30</v>
      </c>
      <c r="I359" t="str">
        <f t="shared" si="47"/>
        <v>Data Analyst</v>
      </c>
      <c r="J359" t="s">
        <v>43</v>
      </c>
      <c r="K359" t="s">
        <v>53</v>
      </c>
      <c r="L359">
        <f t="shared" si="48"/>
        <v>20</v>
      </c>
      <c r="M359" t="s">
        <v>108</v>
      </c>
      <c r="N359" t="str">
        <f t="shared" si="49"/>
        <v>Education</v>
      </c>
      <c r="O359" t="s">
        <v>34</v>
      </c>
      <c r="P359" t="str">
        <f t="shared" si="50"/>
        <v>Python</v>
      </c>
      <c r="Q359">
        <v>0</v>
      </c>
      <c r="R359">
        <v>10</v>
      </c>
      <c r="S359">
        <v>0</v>
      </c>
      <c r="T359">
        <v>9</v>
      </c>
      <c r="U359">
        <v>5</v>
      </c>
      <c r="V359">
        <v>10</v>
      </c>
      <c r="W359" t="s">
        <v>55</v>
      </c>
      <c r="X359" t="s">
        <v>36</v>
      </c>
      <c r="Y359" t="s">
        <v>37</v>
      </c>
      <c r="Z359">
        <v>24</v>
      </c>
      <c r="AA359" t="s">
        <v>1125</v>
      </c>
      <c r="AB359" t="str">
        <f t="shared" si="51"/>
        <v>Other</v>
      </c>
      <c r="AC359" t="s">
        <v>262</v>
      </c>
      <c r="AD359" t="str">
        <f t="shared" si="52"/>
        <v>Associates</v>
      </c>
      <c r="AE359" t="s">
        <v>58</v>
      </c>
      <c r="AF359" t="str">
        <f t="shared" si="53"/>
        <v>Black or African American</v>
      </c>
    </row>
    <row r="360" spans="1:32" x14ac:dyDescent="0.45">
      <c r="A360" t="s">
        <v>1126</v>
      </c>
      <c r="B360" t="s">
        <v>25</v>
      </c>
      <c r="C360" s="3" t="s">
        <v>1099</v>
      </c>
      <c r="D360" s="3">
        <f t="shared" si="45"/>
        <v>44871</v>
      </c>
      <c r="E360" t="s">
        <v>1127</v>
      </c>
      <c r="F360" s="4">
        <f t="shared" si="46"/>
        <v>7.7083333333333337E-2</v>
      </c>
      <c r="G360" t="s">
        <v>646</v>
      </c>
      <c r="H360" t="s">
        <v>30</v>
      </c>
      <c r="I360" t="str">
        <f t="shared" si="47"/>
        <v>Data Analyst</v>
      </c>
      <c r="J360" t="s">
        <v>31</v>
      </c>
      <c r="K360" t="s">
        <v>53</v>
      </c>
      <c r="L360">
        <f t="shared" si="48"/>
        <v>20</v>
      </c>
      <c r="M360" t="s">
        <v>33</v>
      </c>
      <c r="N360" t="str">
        <f t="shared" si="49"/>
        <v>Healthcare</v>
      </c>
      <c r="O360" t="s">
        <v>34</v>
      </c>
      <c r="P360" t="str">
        <f t="shared" si="50"/>
        <v>Python</v>
      </c>
      <c r="Q360">
        <v>7</v>
      </c>
      <c r="R360">
        <v>4</v>
      </c>
      <c r="S360">
        <v>6</v>
      </c>
      <c r="T360">
        <v>5</v>
      </c>
      <c r="U360">
        <v>6</v>
      </c>
      <c r="V360">
        <v>6</v>
      </c>
      <c r="W360" t="s">
        <v>69</v>
      </c>
      <c r="X360" t="s">
        <v>36</v>
      </c>
      <c r="Y360" t="s">
        <v>37</v>
      </c>
      <c r="Z360">
        <v>26</v>
      </c>
      <c r="AA360" t="s">
        <v>147</v>
      </c>
      <c r="AB360" t="str">
        <f t="shared" si="51"/>
        <v>India</v>
      </c>
      <c r="AC360" t="s">
        <v>237</v>
      </c>
      <c r="AD360" t="str">
        <f t="shared" si="52"/>
        <v>Bachelors</v>
      </c>
      <c r="AE360" t="s">
        <v>200</v>
      </c>
      <c r="AF360" t="str">
        <f t="shared" si="53"/>
        <v>Other</v>
      </c>
    </row>
    <row r="361" spans="1:32" x14ac:dyDescent="0.45">
      <c r="A361" t="s">
        <v>1128</v>
      </c>
      <c r="B361" t="s">
        <v>25</v>
      </c>
      <c r="C361" s="3" t="s">
        <v>1099</v>
      </c>
      <c r="D361" s="3">
        <f t="shared" si="45"/>
        <v>44871</v>
      </c>
      <c r="E361" t="s">
        <v>1129</v>
      </c>
      <c r="F361" s="4">
        <f t="shared" si="46"/>
        <v>0.10555555555555556</v>
      </c>
      <c r="G361" t="s">
        <v>1130</v>
      </c>
      <c r="H361" t="s">
        <v>30</v>
      </c>
      <c r="I361" t="str">
        <f t="shared" si="47"/>
        <v>Data Analyst</v>
      </c>
      <c r="J361" t="s">
        <v>31</v>
      </c>
      <c r="K361" t="s">
        <v>53</v>
      </c>
      <c r="L361">
        <f t="shared" si="48"/>
        <v>20</v>
      </c>
      <c r="M361" t="s">
        <v>103</v>
      </c>
      <c r="N361" t="str">
        <f t="shared" si="49"/>
        <v>Tech</v>
      </c>
      <c r="O361" t="s">
        <v>34</v>
      </c>
      <c r="P361" t="str">
        <f t="shared" si="50"/>
        <v>Python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>
        <v>5</v>
      </c>
      <c r="W361" t="s">
        <v>85</v>
      </c>
      <c r="X361" t="s">
        <v>56</v>
      </c>
      <c r="Y361" t="s">
        <v>65</v>
      </c>
      <c r="Z361">
        <v>19</v>
      </c>
      <c r="AA361" t="s">
        <v>939</v>
      </c>
      <c r="AB361" t="str">
        <f t="shared" si="51"/>
        <v>Other</v>
      </c>
      <c r="AC361" t="s">
        <v>227</v>
      </c>
      <c r="AD361" t="str">
        <f t="shared" si="52"/>
        <v>High School</v>
      </c>
      <c r="AE361" t="s">
        <v>48</v>
      </c>
      <c r="AF361" t="str">
        <f t="shared" si="53"/>
        <v>Asian or Asian American</v>
      </c>
    </row>
    <row r="362" spans="1:32" x14ac:dyDescent="0.45">
      <c r="A362" t="s">
        <v>1131</v>
      </c>
      <c r="B362" t="s">
        <v>25</v>
      </c>
      <c r="C362" s="3" t="s">
        <v>1099</v>
      </c>
      <c r="D362" s="3">
        <f t="shared" si="45"/>
        <v>44871</v>
      </c>
      <c r="E362" t="s">
        <v>1132</v>
      </c>
      <c r="F362" s="4">
        <f t="shared" si="46"/>
        <v>0.12777777777777777</v>
      </c>
      <c r="G362" t="s">
        <v>278</v>
      </c>
      <c r="H362" t="s">
        <v>123</v>
      </c>
      <c r="I362" t="str">
        <f t="shared" si="47"/>
        <v>None</v>
      </c>
      <c r="J362" t="s">
        <v>43</v>
      </c>
      <c r="K362" t="s">
        <v>53</v>
      </c>
      <c r="L362">
        <f t="shared" si="48"/>
        <v>20</v>
      </c>
      <c r="M362" t="s">
        <v>1133</v>
      </c>
      <c r="N362" t="str">
        <f t="shared" si="49"/>
        <v>Other</v>
      </c>
      <c r="O362" t="s">
        <v>34</v>
      </c>
      <c r="P362" t="str">
        <f t="shared" si="50"/>
        <v>Python</v>
      </c>
      <c r="Q362">
        <v>5</v>
      </c>
      <c r="R362">
        <v>6</v>
      </c>
      <c r="S362">
        <v>6</v>
      </c>
      <c r="T362">
        <v>5</v>
      </c>
      <c r="U362">
        <v>1</v>
      </c>
      <c r="V362">
        <v>3</v>
      </c>
      <c r="W362" t="s">
        <v>85</v>
      </c>
      <c r="X362" t="s">
        <v>56</v>
      </c>
      <c r="Y362" t="s">
        <v>65</v>
      </c>
      <c r="Z362">
        <v>92</v>
      </c>
      <c r="AA362" t="s">
        <v>147</v>
      </c>
      <c r="AB362" t="str">
        <f t="shared" si="51"/>
        <v>India</v>
      </c>
      <c r="AC362" t="s">
        <v>240</v>
      </c>
      <c r="AD362" t="str">
        <f t="shared" si="52"/>
        <v>Masters</v>
      </c>
      <c r="AE362" t="s">
        <v>48</v>
      </c>
      <c r="AF362" t="str">
        <f t="shared" si="53"/>
        <v>Asian or Asian American</v>
      </c>
    </row>
    <row r="363" spans="1:32" x14ac:dyDescent="0.45">
      <c r="A363" t="s">
        <v>1134</v>
      </c>
      <c r="B363" t="s">
        <v>25</v>
      </c>
      <c r="C363" s="3" t="s">
        <v>1099</v>
      </c>
      <c r="D363" s="3">
        <f t="shared" si="45"/>
        <v>44871</v>
      </c>
      <c r="E363" t="s">
        <v>1135</v>
      </c>
      <c r="F363" s="4">
        <f t="shared" si="46"/>
        <v>0.12847222222222221</v>
      </c>
      <c r="G363" t="s">
        <v>1136</v>
      </c>
      <c r="H363" t="s">
        <v>30</v>
      </c>
      <c r="I363" t="str">
        <f t="shared" si="47"/>
        <v>Data Analyst</v>
      </c>
      <c r="J363" t="s">
        <v>31</v>
      </c>
      <c r="K363" t="s">
        <v>53</v>
      </c>
      <c r="L363">
        <f t="shared" si="48"/>
        <v>20</v>
      </c>
      <c r="M363" t="s">
        <v>33</v>
      </c>
      <c r="N363" t="str">
        <f t="shared" si="49"/>
        <v>Healthcare</v>
      </c>
      <c r="O363" t="s">
        <v>34</v>
      </c>
      <c r="P363" t="str">
        <f t="shared" si="50"/>
        <v>Python</v>
      </c>
      <c r="Q363">
        <v>1</v>
      </c>
      <c r="R363">
        <v>8</v>
      </c>
      <c r="S363">
        <v>5</v>
      </c>
      <c r="T363">
        <v>1</v>
      </c>
      <c r="U363">
        <v>7</v>
      </c>
      <c r="V363">
        <v>8</v>
      </c>
      <c r="W363" t="s">
        <v>85</v>
      </c>
      <c r="X363" t="s">
        <v>36</v>
      </c>
      <c r="Y363" t="s">
        <v>37</v>
      </c>
      <c r="Z363">
        <v>28</v>
      </c>
      <c r="AA363" t="s">
        <v>57</v>
      </c>
      <c r="AB363" t="str">
        <f t="shared" si="51"/>
        <v>Other</v>
      </c>
      <c r="AC363" t="s">
        <v>237</v>
      </c>
      <c r="AD363" t="str">
        <f t="shared" si="52"/>
        <v>Bachelors</v>
      </c>
      <c r="AE363" t="s">
        <v>58</v>
      </c>
      <c r="AF363" t="str">
        <f t="shared" si="53"/>
        <v>Black or African American</v>
      </c>
    </row>
    <row r="364" spans="1:32" x14ac:dyDescent="0.45">
      <c r="A364" t="s">
        <v>1137</v>
      </c>
      <c r="B364" t="s">
        <v>25</v>
      </c>
      <c r="C364" s="3" t="s">
        <v>1099</v>
      </c>
      <c r="D364" s="3">
        <f t="shared" si="45"/>
        <v>44871</v>
      </c>
      <c r="E364" t="s">
        <v>1138</v>
      </c>
      <c r="F364" s="4">
        <f t="shared" si="46"/>
        <v>0.12986111111111112</v>
      </c>
      <c r="G364" t="s">
        <v>157</v>
      </c>
      <c r="H364" t="s">
        <v>123</v>
      </c>
      <c r="I364" t="str">
        <f t="shared" si="47"/>
        <v>None</v>
      </c>
      <c r="J364" t="s">
        <v>31</v>
      </c>
      <c r="K364" t="s">
        <v>53</v>
      </c>
      <c r="L364">
        <f t="shared" si="48"/>
        <v>20</v>
      </c>
      <c r="M364" t="s">
        <v>108</v>
      </c>
      <c r="N364" t="str">
        <f t="shared" si="49"/>
        <v>Education</v>
      </c>
      <c r="O364" t="s">
        <v>34</v>
      </c>
      <c r="P364" t="str">
        <f t="shared" si="50"/>
        <v>Python</v>
      </c>
      <c r="Q364">
        <v>0</v>
      </c>
      <c r="R364">
        <v>1</v>
      </c>
      <c r="S364">
        <v>2</v>
      </c>
      <c r="T364">
        <v>2</v>
      </c>
      <c r="U364">
        <v>1</v>
      </c>
      <c r="V364">
        <v>1</v>
      </c>
      <c r="W364" t="s">
        <v>85</v>
      </c>
      <c r="X364" t="s">
        <v>70</v>
      </c>
      <c r="Y364" t="s">
        <v>65</v>
      </c>
      <c r="Z364">
        <v>24</v>
      </c>
      <c r="AA364" t="s">
        <v>147</v>
      </c>
      <c r="AB364" t="str">
        <f t="shared" si="51"/>
        <v>India</v>
      </c>
      <c r="AC364" t="s">
        <v>240</v>
      </c>
      <c r="AD364" t="str">
        <f t="shared" si="52"/>
        <v>Masters</v>
      </c>
      <c r="AE364" t="s">
        <v>48</v>
      </c>
      <c r="AF364" t="str">
        <f t="shared" si="53"/>
        <v>Asian or Asian American</v>
      </c>
    </row>
    <row r="365" spans="1:32" x14ac:dyDescent="0.45">
      <c r="A365" t="s">
        <v>1139</v>
      </c>
      <c r="B365" t="s">
        <v>25</v>
      </c>
      <c r="C365" s="3" t="s">
        <v>1099</v>
      </c>
      <c r="D365" s="3">
        <f t="shared" si="45"/>
        <v>44871</v>
      </c>
      <c r="E365" t="s">
        <v>1140</v>
      </c>
      <c r="F365" s="4">
        <f t="shared" si="46"/>
        <v>0.13402777777777777</v>
      </c>
      <c r="G365" t="s">
        <v>1141</v>
      </c>
      <c r="H365" t="s">
        <v>1142</v>
      </c>
      <c r="I365" t="str">
        <f t="shared" si="47"/>
        <v>Other</v>
      </c>
      <c r="J365" t="s">
        <v>43</v>
      </c>
      <c r="K365" t="s">
        <v>44</v>
      </c>
      <c r="L365">
        <f t="shared" si="48"/>
        <v>53</v>
      </c>
      <c r="M365" t="s">
        <v>33</v>
      </c>
      <c r="N365" t="str">
        <f t="shared" si="49"/>
        <v>Healthcare</v>
      </c>
      <c r="O365" t="s">
        <v>34</v>
      </c>
      <c r="P365" t="str">
        <f t="shared" si="50"/>
        <v>Python</v>
      </c>
      <c r="Q365">
        <v>7</v>
      </c>
      <c r="R365">
        <v>10</v>
      </c>
      <c r="S365">
        <v>10</v>
      </c>
      <c r="T365">
        <v>10</v>
      </c>
      <c r="U365">
        <v>5</v>
      </c>
      <c r="V365">
        <v>10</v>
      </c>
      <c r="W365" t="s">
        <v>55</v>
      </c>
      <c r="X365" t="s">
        <v>70</v>
      </c>
      <c r="Y365" t="s">
        <v>37</v>
      </c>
      <c r="Z365">
        <v>25</v>
      </c>
      <c r="AA365" t="s">
        <v>38</v>
      </c>
      <c r="AB365" t="str">
        <f t="shared" si="51"/>
        <v>United States</v>
      </c>
      <c r="AC365" t="s">
        <v>240</v>
      </c>
      <c r="AD365" t="str">
        <f t="shared" si="52"/>
        <v>Masters</v>
      </c>
      <c r="AE365" t="s">
        <v>48</v>
      </c>
      <c r="AF365" t="str">
        <f t="shared" si="53"/>
        <v>Asian or Asian American</v>
      </c>
    </row>
    <row r="366" spans="1:32" x14ac:dyDescent="0.45">
      <c r="A366" t="s">
        <v>1143</v>
      </c>
      <c r="B366" t="s">
        <v>25</v>
      </c>
      <c r="C366" s="3" t="s">
        <v>1099</v>
      </c>
      <c r="D366" s="3">
        <f t="shared" si="45"/>
        <v>44871</v>
      </c>
      <c r="E366" t="s">
        <v>1144</v>
      </c>
      <c r="F366" s="4">
        <f t="shared" si="46"/>
        <v>0.13750000000000001</v>
      </c>
      <c r="G366" t="s">
        <v>1145</v>
      </c>
      <c r="H366" t="s">
        <v>30</v>
      </c>
      <c r="I366" t="str">
        <f t="shared" si="47"/>
        <v>Data Analyst</v>
      </c>
      <c r="J366" t="s">
        <v>31</v>
      </c>
      <c r="K366" t="s">
        <v>44</v>
      </c>
      <c r="L366">
        <f t="shared" si="48"/>
        <v>53</v>
      </c>
      <c r="M366" t="s">
        <v>45</v>
      </c>
      <c r="N366" t="str">
        <f t="shared" si="49"/>
        <v>Finance</v>
      </c>
      <c r="O366" t="s">
        <v>34</v>
      </c>
      <c r="P366" t="str">
        <f t="shared" si="50"/>
        <v>Python</v>
      </c>
      <c r="Q366">
        <v>4</v>
      </c>
      <c r="R366">
        <v>5</v>
      </c>
      <c r="S366">
        <v>5</v>
      </c>
      <c r="T366">
        <v>5</v>
      </c>
      <c r="U366">
        <v>6</v>
      </c>
      <c r="V366">
        <v>6</v>
      </c>
      <c r="W366" t="s">
        <v>85</v>
      </c>
      <c r="X366" t="s">
        <v>56</v>
      </c>
      <c r="Y366" t="s">
        <v>37</v>
      </c>
      <c r="Z366">
        <v>42</v>
      </c>
      <c r="AA366" t="s">
        <v>109</v>
      </c>
      <c r="AB366" t="str">
        <f t="shared" si="51"/>
        <v>United Kingdom</v>
      </c>
      <c r="AC366" t="s">
        <v>240</v>
      </c>
      <c r="AD366" t="str">
        <f t="shared" si="52"/>
        <v>Masters</v>
      </c>
      <c r="AE366" t="s">
        <v>58</v>
      </c>
      <c r="AF366" t="str">
        <f t="shared" si="53"/>
        <v>Black or African American</v>
      </c>
    </row>
    <row r="367" spans="1:32" x14ac:dyDescent="0.45">
      <c r="A367" t="s">
        <v>1146</v>
      </c>
      <c r="B367" t="s">
        <v>25</v>
      </c>
      <c r="C367" s="3" t="s">
        <v>1099</v>
      </c>
      <c r="D367" s="3">
        <f t="shared" si="45"/>
        <v>44871</v>
      </c>
      <c r="E367" t="s">
        <v>1147</v>
      </c>
      <c r="F367" s="4">
        <f t="shared" si="46"/>
        <v>0.15277777777777779</v>
      </c>
      <c r="G367" t="s">
        <v>126</v>
      </c>
      <c r="H367" t="s">
        <v>30</v>
      </c>
      <c r="I367" t="str">
        <f t="shared" si="47"/>
        <v>Data Analyst</v>
      </c>
      <c r="J367" t="s">
        <v>31</v>
      </c>
      <c r="K367" t="s">
        <v>53</v>
      </c>
      <c r="L367">
        <f t="shared" si="48"/>
        <v>20</v>
      </c>
      <c r="M367" t="s">
        <v>103</v>
      </c>
      <c r="N367" t="str">
        <f t="shared" si="49"/>
        <v>Tech</v>
      </c>
      <c r="O367" t="s">
        <v>34</v>
      </c>
      <c r="P367" t="str">
        <f t="shared" si="50"/>
        <v>Python</v>
      </c>
      <c r="Q367">
        <v>2</v>
      </c>
      <c r="R367">
        <v>3</v>
      </c>
      <c r="S367">
        <v>3</v>
      </c>
      <c r="T367">
        <v>3</v>
      </c>
      <c r="U367">
        <v>3</v>
      </c>
      <c r="V367">
        <v>3</v>
      </c>
      <c r="W367" t="s">
        <v>69</v>
      </c>
      <c r="X367" t="s">
        <v>70</v>
      </c>
      <c r="Y367" t="s">
        <v>37</v>
      </c>
      <c r="Z367">
        <v>21</v>
      </c>
      <c r="AA367" t="s">
        <v>147</v>
      </c>
      <c r="AB367" t="str">
        <f t="shared" si="51"/>
        <v>India</v>
      </c>
      <c r="AC367" t="s">
        <v>237</v>
      </c>
      <c r="AD367" t="str">
        <f t="shared" si="52"/>
        <v>Bachelors</v>
      </c>
      <c r="AE367" t="s">
        <v>48</v>
      </c>
      <c r="AF367" t="str">
        <f t="shared" si="53"/>
        <v>Asian or Asian American</v>
      </c>
    </row>
    <row r="368" spans="1:32" x14ac:dyDescent="0.45">
      <c r="A368" t="s">
        <v>1148</v>
      </c>
      <c r="B368" t="s">
        <v>25</v>
      </c>
      <c r="C368" s="3" t="s">
        <v>1099</v>
      </c>
      <c r="D368" s="3">
        <f t="shared" si="45"/>
        <v>44871</v>
      </c>
      <c r="E368" t="s">
        <v>1149</v>
      </c>
      <c r="F368" s="4">
        <f t="shared" si="46"/>
        <v>0.15763888888888888</v>
      </c>
      <c r="G368" t="s">
        <v>299</v>
      </c>
      <c r="H368" t="s">
        <v>30</v>
      </c>
      <c r="I368" t="str">
        <f t="shared" si="47"/>
        <v>Data Analyst</v>
      </c>
      <c r="J368" t="s">
        <v>43</v>
      </c>
      <c r="K368" t="s">
        <v>94</v>
      </c>
      <c r="L368">
        <f t="shared" si="48"/>
        <v>75.5</v>
      </c>
      <c r="M368" t="s">
        <v>33</v>
      </c>
      <c r="N368" t="str">
        <f t="shared" si="49"/>
        <v>Healthcare</v>
      </c>
      <c r="O368" t="s">
        <v>34</v>
      </c>
      <c r="P368" t="str">
        <f t="shared" si="50"/>
        <v>Python</v>
      </c>
      <c r="Q368">
        <v>7</v>
      </c>
      <c r="R368">
        <v>8</v>
      </c>
      <c r="S368">
        <v>9</v>
      </c>
      <c r="T368">
        <v>7</v>
      </c>
      <c r="U368">
        <v>7</v>
      </c>
      <c r="V368">
        <v>6</v>
      </c>
      <c r="W368" t="s">
        <v>55</v>
      </c>
      <c r="X368" t="s">
        <v>70</v>
      </c>
      <c r="Y368" t="s">
        <v>37</v>
      </c>
      <c r="Z368">
        <v>24</v>
      </c>
      <c r="AA368" t="s">
        <v>38</v>
      </c>
      <c r="AB368" t="str">
        <f t="shared" si="51"/>
        <v>United States</v>
      </c>
      <c r="AC368" t="s">
        <v>237</v>
      </c>
      <c r="AD368" t="str">
        <f t="shared" si="52"/>
        <v>Bachelors</v>
      </c>
      <c r="AE368" t="s">
        <v>39</v>
      </c>
      <c r="AF368" t="str">
        <f t="shared" si="53"/>
        <v>White or Caucasian</v>
      </c>
    </row>
    <row r="369" spans="1:32" x14ac:dyDescent="0.45">
      <c r="A369" t="s">
        <v>1150</v>
      </c>
      <c r="B369" t="s">
        <v>25</v>
      </c>
      <c r="C369" s="3" t="s">
        <v>1099</v>
      </c>
      <c r="D369" s="3">
        <f t="shared" si="45"/>
        <v>44871</v>
      </c>
      <c r="E369" t="s">
        <v>1151</v>
      </c>
      <c r="F369" s="4">
        <f t="shared" si="46"/>
        <v>0.16458333333333333</v>
      </c>
      <c r="G369" t="s">
        <v>206</v>
      </c>
      <c r="H369" t="s">
        <v>30</v>
      </c>
      <c r="I369" t="str">
        <f t="shared" si="47"/>
        <v>Data Analyst</v>
      </c>
      <c r="J369" t="s">
        <v>31</v>
      </c>
      <c r="K369" t="s">
        <v>44</v>
      </c>
      <c r="L369">
        <f t="shared" si="48"/>
        <v>53</v>
      </c>
      <c r="M369" t="s">
        <v>33</v>
      </c>
      <c r="N369" t="str">
        <f t="shared" si="49"/>
        <v>Healthcare</v>
      </c>
      <c r="O369" t="s">
        <v>34</v>
      </c>
      <c r="P369" t="str">
        <f t="shared" si="50"/>
        <v>Python</v>
      </c>
      <c r="Q369">
        <v>4</v>
      </c>
      <c r="R369">
        <v>7</v>
      </c>
      <c r="S369">
        <v>6</v>
      </c>
      <c r="T369">
        <v>6</v>
      </c>
      <c r="U369">
        <v>6</v>
      </c>
      <c r="V369">
        <v>7</v>
      </c>
      <c r="W369" t="s">
        <v>85</v>
      </c>
      <c r="X369" t="s">
        <v>70</v>
      </c>
      <c r="Y369" t="s">
        <v>65</v>
      </c>
      <c r="Z369">
        <v>26</v>
      </c>
      <c r="AA369" t="s">
        <v>38</v>
      </c>
      <c r="AB369" t="str">
        <f t="shared" si="51"/>
        <v>United States</v>
      </c>
      <c r="AC369" t="s">
        <v>237</v>
      </c>
      <c r="AD369" t="str">
        <f t="shared" si="52"/>
        <v>Bachelors</v>
      </c>
      <c r="AE369" t="s">
        <v>39</v>
      </c>
      <c r="AF369" t="str">
        <f t="shared" si="53"/>
        <v>White or Caucasian</v>
      </c>
    </row>
    <row r="370" spans="1:32" x14ac:dyDescent="0.45">
      <c r="A370" t="s">
        <v>1152</v>
      </c>
      <c r="B370" t="s">
        <v>25</v>
      </c>
      <c r="C370" s="3" t="s">
        <v>1099</v>
      </c>
      <c r="D370" s="3">
        <f t="shared" si="45"/>
        <v>44871</v>
      </c>
      <c r="E370" t="s">
        <v>1153</v>
      </c>
      <c r="F370" s="4">
        <f t="shared" si="46"/>
        <v>0.1673611111111111</v>
      </c>
      <c r="G370" t="s">
        <v>490</v>
      </c>
      <c r="H370" t="s">
        <v>30</v>
      </c>
      <c r="I370" t="str">
        <f t="shared" si="47"/>
        <v>Data Analyst</v>
      </c>
      <c r="J370" t="s">
        <v>31</v>
      </c>
      <c r="K370" t="s">
        <v>53</v>
      </c>
      <c r="L370">
        <f t="shared" si="48"/>
        <v>20</v>
      </c>
      <c r="M370" t="s">
        <v>1154</v>
      </c>
      <c r="N370" t="str">
        <f t="shared" si="49"/>
        <v>Other</v>
      </c>
      <c r="O370" t="s">
        <v>34</v>
      </c>
      <c r="P370" t="str">
        <f t="shared" si="50"/>
        <v>Python</v>
      </c>
      <c r="Q370">
        <v>2</v>
      </c>
      <c r="R370">
        <v>8</v>
      </c>
      <c r="S370">
        <v>8</v>
      </c>
      <c r="T370">
        <v>9</v>
      </c>
      <c r="U370">
        <v>8</v>
      </c>
      <c r="V370">
        <v>10</v>
      </c>
      <c r="W370" t="s">
        <v>69</v>
      </c>
      <c r="X370" t="s">
        <v>70</v>
      </c>
      <c r="Y370" t="s">
        <v>37</v>
      </c>
      <c r="Z370">
        <v>30</v>
      </c>
      <c r="AA370" t="s">
        <v>109</v>
      </c>
      <c r="AB370" t="str">
        <f t="shared" si="51"/>
        <v>United Kingdom</v>
      </c>
      <c r="AC370" t="s">
        <v>237</v>
      </c>
      <c r="AD370" t="str">
        <f t="shared" si="52"/>
        <v>Bachelors</v>
      </c>
      <c r="AE370" t="s">
        <v>39</v>
      </c>
      <c r="AF370" t="str">
        <f t="shared" si="53"/>
        <v>White or Caucasian</v>
      </c>
    </row>
    <row r="371" spans="1:32" x14ac:dyDescent="0.45">
      <c r="A371" t="s">
        <v>1155</v>
      </c>
      <c r="B371" t="s">
        <v>25</v>
      </c>
      <c r="C371" s="3" t="s">
        <v>1099</v>
      </c>
      <c r="D371" s="3">
        <f t="shared" si="45"/>
        <v>44871</v>
      </c>
      <c r="E371" t="s">
        <v>1156</v>
      </c>
      <c r="F371" s="4">
        <f t="shared" si="46"/>
        <v>0.17569444444444443</v>
      </c>
      <c r="G371" t="s">
        <v>1157</v>
      </c>
      <c r="H371" t="s">
        <v>52</v>
      </c>
      <c r="I371" t="str">
        <f t="shared" si="47"/>
        <v>Data Engineer</v>
      </c>
      <c r="J371" t="s">
        <v>31</v>
      </c>
      <c r="K371" t="s">
        <v>87</v>
      </c>
      <c r="L371">
        <f t="shared" si="48"/>
        <v>95.5</v>
      </c>
      <c r="M371" t="s">
        <v>1158</v>
      </c>
      <c r="N371" t="str">
        <f t="shared" si="49"/>
        <v>Other</v>
      </c>
      <c r="O371" t="s">
        <v>84</v>
      </c>
      <c r="P371" t="str">
        <f t="shared" si="50"/>
        <v>Other</v>
      </c>
      <c r="Q371">
        <v>6</v>
      </c>
      <c r="R371">
        <v>10</v>
      </c>
      <c r="S371">
        <v>10</v>
      </c>
      <c r="T371">
        <v>10</v>
      </c>
      <c r="U371">
        <v>10</v>
      </c>
      <c r="V371">
        <v>10</v>
      </c>
      <c r="W371" t="s">
        <v>85</v>
      </c>
      <c r="X371" t="s">
        <v>114</v>
      </c>
      <c r="Y371" t="s">
        <v>37</v>
      </c>
      <c r="Z371">
        <v>27</v>
      </c>
      <c r="AA371" t="s">
        <v>38</v>
      </c>
      <c r="AB371" t="str">
        <f t="shared" si="51"/>
        <v>United States</v>
      </c>
      <c r="AC371" t="s">
        <v>237</v>
      </c>
      <c r="AD371" t="str">
        <f t="shared" si="52"/>
        <v>Bachelors</v>
      </c>
      <c r="AE371" t="s">
        <v>58</v>
      </c>
      <c r="AF371" t="str">
        <f t="shared" si="53"/>
        <v>Black or African American</v>
      </c>
    </row>
    <row r="372" spans="1:32" x14ac:dyDescent="0.45">
      <c r="A372" t="s">
        <v>1159</v>
      </c>
      <c r="B372" t="s">
        <v>25</v>
      </c>
      <c r="C372" s="3" t="s">
        <v>1099</v>
      </c>
      <c r="D372" s="3">
        <f t="shared" si="45"/>
        <v>44871</v>
      </c>
      <c r="E372" t="s">
        <v>1160</v>
      </c>
      <c r="F372" s="4">
        <f t="shared" si="46"/>
        <v>0.18333333333333332</v>
      </c>
      <c r="G372" t="s">
        <v>646</v>
      </c>
      <c r="H372" t="s">
        <v>52</v>
      </c>
      <c r="I372" t="str">
        <f t="shared" si="47"/>
        <v>Data Engineer</v>
      </c>
      <c r="J372" t="s">
        <v>31</v>
      </c>
      <c r="K372" t="s">
        <v>53</v>
      </c>
      <c r="L372">
        <f t="shared" si="48"/>
        <v>20</v>
      </c>
      <c r="M372" t="s">
        <v>103</v>
      </c>
      <c r="N372" t="str">
        <f t="shared" si="49"/>
        <v>Tech</v>
      </c>
      <c r="O372" t="s">
        <v>34</v>
      </c>
      <c r="P372" t="str">
        <f t="shared" si="50"/>
        <v>Python</v>
      </c>
      <c r="Q372">
        <v>0</v>
      </c>
      <c r="R372">
        <v>4</v>
      </c>
      <c r="S372">
        <v>1</v>
      </c>
      <c r="T372">
        <v>0</v>
      </c>
      <c r="U372">
        <v>1</v>
      </c>
      <c r="V372">
        <v>3</v>
      </c>
      <c r="W372" t="s">
        <v>55</v>
      </c>
      <c r="X372" t="s">
        <v>70</v>
      </c>
      <c r="Y372" t="s">
        <v>37</v>
      </c>
      <c r="Z372">
        <v>28</v>
      </c>
      <c r="AA372" t="s">
        <v>147</v>
      </c>
      <c r="AB372" t="str">
        <f t="shared" si="51"/>
        <v>India</v>
      </c>
      <c r="AC372" t="s">
        <v>237</v>
      </c>
      <c r="AD372" t="str">
        <f t="shared" si="52"/>
        <v>Bachelors</v>
      </c>
      <c r="AE372" t="s">
        <v>48</v>
      </c>
      <c r="AF372" t="str">
        <f t="shared" si="53"/>
        <v>Asian or Asian American</v>
      </c>
    </row>
    <row r="373" spans="1:32" x14ac:dyDescent="0.45">
      <c r="A373" t="s">
        <v>1161</v>
      </c>
      <c r="B373" t="s">
        <v>25</v>
      </c>
      <c r="C373" s="3" t="s">
        <v>1099</v>
      </c>
      <c r="D373" s="3">
        <f t="shared" si="45"/>
        <v>44871</v>
      </c>
      <c r="E373" t="s">
        <v>1162</v>
      </c>
      <c r="F373" s="4">
        <f t="shared" si="46"/>
        <v>0.20972222222222223</v>
      </c>
      <c r="G373" t="s">
        <v>813</v>
      </c>
      <c r="H373" t="s">
        <v>30</v>
      </c>
      <c r="I373" t="str">
        <f t="shared" si="47"/>
        <v>Data Analyst</v>
      </c>
      <c r="J373" t="s">
        <v>43</v>
      </c>
      <c r="K373" t="s">
        <v>94</v>
      </c>
      <c r="L373">
        <f t="shared" si="48"/>
        <v>75.5</v>
      </c>
      <c r="M373" t="s">
        <v>712</v>
      </c>
      <c r="N373" t="str">
        <f t="shared" si="49"/>
        <v>Real Estate</v>
      </c>
      <c r="O373" t="s">
        <v>84</v>
      </c>
      <c r="P373" t="str">
        <f t="shared" si="50"/>
        <v>Other</v>
      </c>
      <c r="Q373">
        <v>6</v>
      </c>
      <c r="R373">
        <v>8</v>
      </c>
      <c r="S373">
        <v>7</v>
      </c>
      <c r="T373">
        <v>7</v>
      </c>
      <c r="U373">
        <v>5</v>
      </c>
      <c r="V373">
        <v>6</v>
      </c>
      <c r="W373" t="s">
        <v>55</v>
      </c>
      <c r="X373" t="s">
        <v>70</v>
      </c>
      <c r="Y373" t="s">
        <v>65</v>
      </c>
      <c r="Z373">
        <v>29</v>
      </c>
      <c r="AA373" t="s">
        <v>109</v>
      </c>
      <c r="AB373" t="str">
        <f t="shared" si="51"/>
        <v>United Kingdom</v>
      </c>
      <c r="AC373" t="s">
        <v>237</v>
      </c>
      <c r="AD373" t="str">
        <f t="shared" si="52"/>
        <v>Bachelors</v>
      </c>
      <c r="AE373" t="s">
        <v>39</v>
      </c>
      <c r="AF373" t="str">
        <f t="shared" si="53"/>
        <v>White or Caucasian</v>
      </c>
    </row>
    <row r="374" spans="1:32" x14ac:dyDescent="0.45">
      <c r="A374" t="s">
        <v>1163</v>
      </c>
      <c r="B374" t="s">
        <v>25</v>
      </c>
      <c r="C374" s="3" t="s">
        <v>1099</v>
      </c>
      <c r="D374" s="3">
        <f t="shared" si="45"/>
        <v>44871</v>
      </c>
      <c r="E374" t="s">
        <v>1164</v>
      </c>
      <c r="F374" s="4">
        <f t="shared" si="46"/>
        <v>0.21666666666666667</v>
      </c>
      <c r="G374" t="s">
        <v>288</v>
      </c>
      <c r="H374" t="s">
        <v>30</v>
      </c>
      <c r="I374" t="str">
        <f t="shared" si="47"/>
        <v>Data Analyst</v>
      </c>
      <c r="J374" t="s">
        <v>43</v>
      </c>
      <c r="K374" t="s">
        <v>53</v>
      </c>
      <c r="L374">
        <f t="shared" si="48"/>
        <v>20</v>
      </c>
      <c r="M374" t="s">
        <v>1165</v>
      </c>
      <c r="N374" t="str">
        <f t="shared" si="49"/>
        <v>Other</v>
      </c>
      <c r="O374" t="s">
        <v>34</v>
      </c>
      <c r="P374" t="str">
        <f t="shared" si="50"/>
        <v>Python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55</v>
      </c>
      <c r="X374" t="s">
        <v>56</v>
      </c>
      <c r="Y374" t="s">
        <v>65</v>
      </c>
      <c r="Z374">
        <v>26</v>
      </c>
      <c r="AA374" t="s">
        <v>147</v>
      </c>
      <c r="AB374" t="str">
        <f t="shared" si="51"/>
        <v>India</v>
      </c>
      <c r="AC374" t="s">
        <v>237</v>
      </c>
      <c r="AD374" t="str">
        <f t="shared" si="52"/>
        <v>Bachelors</v>
      </c>
      <c r="AE374" t="s">
        <v>48</v>
      </c>
      <c r="AF374" t="str">
        <f t="shared" si="53"/>
        <v>Asian or Asian American</v>
      </c>
    </row>
    <row r="375" spans="1:32" x14ac:dyDescent="0.45">
      <c r="A375" t="s">
        <v>1166</v>
      </c>
      <c r="B375" t="s">
        <v>25</v>
      </c>
      <c r="C375" s="3" t="s">
        <v>1099</v>
      </c>
      <c r="D375" s="3">
        <f t="shared" si="45"/>
        <v>44871</v>
      </c>
      <c r="E375" t="s">
        <v>1167</v>
      </c>
      <c r="F375" s="4">
        <f t="shared" si="46"/>
        <v>0.22569444444444445</v>
      </c>
      <c r="G375" t="s">
        <v>224</v>
      </c>
      <c r="H375" t="s">
        <v>52</v>
      </c>
      <c r="I375" t="str">
        <f t="shared" si="47"/>
        <v>Data Engineer</v>
      </c>
      <c r="J375" t="s">
        <v>31</v>
      </c>
      <c r="K375" t="s">
        <v>53</v>
      </c>
      <c r="L375">
        <f t="shared" si="48"/>
        <v>20</v>
      </c>
      <c r="M375" t="s">
        <v>45</v>
      </c>
      <c r="N375" t="str">
        <f t="shared" si="49"/>
        <v>Finance</v>
      </c>
      <c r="O375" t="s">
        <v>34</v>
      </c>
      <c r="P375" t="str">
        <f t="shared" si="50"/>
        <v>Python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4</v>
      </c>
      <c r="W375" t="s">
        <v>85</v>
      </c>
      <c r="X375" t="s">
        <v>36</v>
      </c>
      <c r="Y375" t="s">
        <v>37</v>
      </c>
      <c r="Z375">
        <v>29</v>
      </c>
      <c r="AA375" t="s">
        <v>1168</v>
      </c>
      <c r="AB375" t="str">
        <f t="shared" si="51"/>
        <v>Other</v>
      </c>
      <c r="AC375" t="s">
        <v>237</v>
      </c>
      <c r="AD375" t="str">
        <f t="shared" si="52"/>
        <v>Bachelors</v>
      </c>
      <c r="AE375" t="s">
        <v>58</v>
      </c>
      <c r="AF375" t="str">
        <f t="shared" si="53"/>
        <v>Black or African American</v>
      </c>
    </row>
    <row r="376" spans="1:32" x14ac:dyDescent="0.45">
      <c r="A376" t="s">
        <v>1169</v>
      </c>
      <c r="B376" t="s">
        <v>25</v>
      </c>
      <c r="C376" s="3" t="s">
        <v>1099</v>
      </c>
      <c r="D376" s="3">
        <f t="shared" si="45"/>
        <v>44871</v>
      </c>
      <c r="E376" t="s">
        <v>1170</v>
      </c>
      <c r="F376" s="4">
        <f t="shared" si="46"/>
        <v>0.22777777777777777</v>
      </c>
      <c r="G376" t="s">
        <v>68</v>
      </c>
      <c r="H376" t="s">
        <v>1171</v>
      </c>
      <c r="I376" t="str">
        <f t="shared" si="47"/>
        <v>Other</v>
      </c>
      <c r="J376" t="s">
        <v>43</v>
      </c>
      <c r="K376" t="s">
        <v>94</v>
      </c>
      <c r="L376">
        <f t="shared" si="48"/>
        <v>75.5</v>
      </c>
      <c r="M376" t="s">
        <v>45</v>
      </c>
      <c r="N376" t="str">
        <f t="shared" si="49"/>
        <v>Finance</v>
      </c>
      <c r="O376" t="s">
        <v>674</v>
      </c>
      <c r="P376" t="str">
        <f t="shared" si="50"/>
        <v>Other</v>
      </c>
      <c r="Q376">
        <v>3</v>
      </c>
      <c r="R376">
        <v>5</v>
      </c>
      <c r="S376">
        <v>7</v>
      </c>
      <c r="T376">
        <v>2</v>
      </c>
      <c r="U376">
        <v>5</v>
      </c>
      <c r="V376">
        <v>7</v>
      </c>
      <c r="W376" t="s">
        <v>55</v>
      </c>
      <c r="X376" t="s">
        <v>36</v>
      </c>
      <c r="Y376" t="s">
        <v>37</v>
      </c>
      <c r="Z376">
        <v>60</v>
      </c>
      <c r="AA376" t="s">
        <v>109</v>
      </c>
      <c r="AB376" t="str">
        <f t="shared" si="51"/>
        <v>United Kingdom</v>
      </c>
      <c r="AC376" t="s">
        <v>240</v>
      </c>
      <c r="AD376" t="str">
        <f t="shared" si="52"/>
        <v>Masters</v>
      </c>
      <c r="AE376" t="s">
        <v>39</v>
      </c>
      <c r="AF376" t="str">
        <f t="shared" si="53"/>
        <v>White or Caucasian</v>
      </c>
    </row>
    <row r="377" spans="1:32" x14ac:dyDescent="0.45">
      <c r="A377" t="s">
        <v>1172</v>
      </c>
      <c r="B377" t="s">
        <v>25</v>
      </c>
      <c r="C377" s="3" t="s">
        <v>1099</v>
      </c>
      <c r="D377" s="3">
        <f t="shared" si="45"/>
        <v>44871</v>
      </c>
      <c r="E377" t="s">
        <v>1173</v>
      </c>
      <c r="F377" s="4">
        <f t="shared" si="46"/>
        <v>0.25763888888888886</v>
      </c>
      <c r="G377" t="s">
        <v>406</v>
      </c>
      <c r="H377" t="s">
        <v>30</v>
      </c>
      <c r="I377" t="str">
        <f t="shared" si="47"/>
        <v>Data Analyst</v>
      </c>
      <c r="J377" t="s">
        <v>31</v>
      </c>
      <c r="K377" t="s">
        <v>53</v>
      </c>
      <c r="L377">
        <f t="shared" si="48"/>
        <v>20</v>
      </c>
      <c r="M377" t="s">
        <v>33</v>
      </c>
      <c r="N377" t="str">
        <f t="shared" si="49"/>
        <v>Healthcare</v>
      </c>
      <c r="O377" t="s">
        <v>34</v>
      </c>
      <c r="P377" t="str">
        <f t="shared" si="50"/>
        <v>Python</v>
      </c>
      <c r="Q377">
        <v>5</v>
      </c>
      <c r="R377">
        <v>8</v>
      </c>
      <c r="S377">
        <v>8</v>
      </c>
      <c r="T377">
        <v>5</v>
      </c>
      <c r="U377">
        <v>5</v>
      </c>
      <c r="V377">
        <v>6</v>
      </c>
      <c r="W377" t="s">
        <v>85</v>
      </c>
      <c r="X377" t="s">
        <v>70</v>
      </c>
      <c r="Y377" t="s">
        <v>37</v>
      </c>
      <c r="Z377">
        <v>25</v>
      </c>
      <c r="AA377" t="s">
        <v>419</v>
      </c>
      <c r="AB377" t="str">
        <f t="shared" si="51"/>
        <v>Other</v>
      </c>
      <c r="AC377" t="s">
        <v>237</v>
      </c>
      <c r="AD377" t="str">
        <f t="shared" si="52"/>
        <v>Bachelors</v>
      </c>
      <c r="AE377" t="s">
        <v>58</v>
      </c>
      <c r="AF377" t="str">
        <f t="shared" si="53"/>
        <v>Black or African American</v>
      </c>
    </row>
    <row r="378" spans="1:32" x14ac:dyDescent="0.45">
      <c r="A378" t="s">
        <v>1174</v>
      </c>
      <c r="B378" t="s">
        <v>25</v>
      </c>
      <c r="C378" s="3" t="s">
        <v>1099</v>
      </c>
      <c r="D378" s="3">
        <f t="shared" si="45"/>
        <v>44871</v>
      </c>
      <c r="E378" t="s">
        <v>1175</v>
      </c>
      <c r="F378" s="4">
        <f t="shared" si="46"/>
        <v>0.2590277777777778</v>
      </c>
      <c r="G378" t="s">
        <v>809</v>
      </c>
      <c r="H378" t="s">
        <v>1176</v>
      </c>
      <c r="I378" t="str">
        <f t="shared" si="47"/>
        <v>Other</v>
      </c>
      <c r="J378" t="s">
        <v>43</v>
      </c>
      <c r="K378" t="s">
        <v>53</v>
      </c>
      <c r="L378">
        <f t="shared" si="48"/>
        <v>20</v>
      </c>
      <c r="M378" t="s">
        <v>113</v>
      </c>
      <c r="N378" t="str">
        <f t="shared" si="49"/>
        <v>Construction</v>
      </c>
      <c r="O378" t="s">
        <v>46</v>
      </c>
      <c r="P378" t="str">
        <f t="shared" si="50"/>
        <v>R</v>
      </c>
      <c r="Q378">
        <v>0</v>
      </c>
      <c r="R378">
        <v>0</v>
      </c>
      <c r="S378">
        <v>1</v>
      </c>
      <c r="T378">
        <v>3</v>
      </c>
      <c r="U378">
        <v>2</v>
      </c>
      <c r="V378">
        <v>1</v>
      </c>
      <c r="W378" t="s">
        <v>85</v>
      </c>
      <c r="X378" t="s">
        <v>56</v>
      </c>
      <c r="Y378" t="s">
        <v>65</v>
      </c>
      <c r="Z378">
        <v>37</v>
      </c>
      <c r="AA378" t="s">
        <v>419</v>
      </c>
      <c r="AB378" t="str">
        <f t="shared" si="51"/>
        <v>Other</v>
      </c>
      <c r="AC378" t="s">
        <v>240</v>
      </c>
      <c r="AD378" t="str">
        <f t="shared" si="52"/>
        <v>Masters</v>
      </c>
      <c r="AE378" t="s">
        <v>648</v>
      </c>
      <c r="AF378" t="str">
        <f t="shared" si="53"/>
        <v>Other</v>
      </c>
    </row>
    <row r="379" spans="1:32" x14ac:dyDescent="0.45">
      <c r="A379" t="s">
        <v>1177</v>
      </c>
      <c r="B379" t="s">
        <v>25</v>
      </c>
      <c r="C379" s="3" t="s">
        <v>1099</v>
      </c>
      <c r="D379" s="3">
        <f t="shared" si="45"/>
        <v>44871</v>
      </c>
      <c r="E379" t="s">
        <v>1178</v>
      </c>
      <c r="F379" s="4">
        <f t="shared" si="46"/>
        <v>0.26805555555555555</v>
      </c>
      <c r="G379" t="s">
        <v>615</v>
      </c>
      <c r="H379" t="s">
        <v>30</v>
      </c>
      <c r="I379" t="str">
        <f t="shared" si="47"/>
        <v>Data Analyst</v>
      </c>
      <c r="J379" t="s">
        <v>31</v>
      </c>
      <c r="K379" t="s">
        <v>94</v>
      </c>
      <c r="L379">
        <f t="shared" si="48"/>
        <v>75.5</v>
      </c>
      <c r="M379" t="s">
        <v>45</v>
      </c>
      <c r="N379" t="str">
        <f t="shared" si="49"/>
        <v>Finance</v>
      </c>
      <c r="O379" t="s">
        <v>34</v>
      </c>
      <c r="P379" t="str">
        <f t="shared" si="50"/>
        <v>Python</v>
      </c>
      <c r="Q379">
        <v>6</v>
      </c>
      <c r="R379">
        <v>8</v>
      </c>
      <c r="S379">
        <v>3</v>
      </c>
      <c r="T379">
        <v>4</v>
      </c>
      <c r="U379">
        <v>5</v>
      </c>
      <c r="V379">
        <v>1</v>
      </c>
      <c r="W379" t="s">
        <v>85</v>
      </c>
      <c r="X379" t="s">
        <v>70</v>
      </c>
      <c r="Y379" t="s">
        <v>65</v>
      </c>
      <c r="Z379">
        <v>30</v>
      </c>
      <c r="AA379" t="s">
        <v>47</v>
      </c>
      <c r="AB379" t="str">
        <f t="shared" si="51"/>
        <v>Canada</v>
      </c>
      <c r="AC379" t="s">
        <v>237</v>
      </c>
      <c r="AD379" t="str">
        <f t="shared" si="52"/>
        <v>Bachelors</v>
      </c>
      <c r="AE379" t="s">
        <v>48</v>
      </c>
      <c r="AF379" t="str">
        <f t="shared" si="53"/>
        <v>Asian or Asian American</v>
      </c>
    </row>
    <row r="380" spans="1:32" x14ac:dyDescent="0.45">
      <c r="A380" t="s">
        <v>1179</v>
      </c>
      <c r="B380" t="s">
        <v>25</v>
      </c>
      <c r="C380" s="3" t="s">
        <v>1099</v>
      </c>
      <c r="D380" s="3">
        <f t="shared" si="45"/>
        <v>44871</v>
      </c>
      <c r="E380" t="s">
        <v>1180</v>
      </c>
      <c r="F380" s="4">
        <f t="shared" si="46"/>
        <v>0.29166666666666669</v>
      </c>
      <c r="G380" t="s">
        <v>1181</v>
      </c>
      <c r="H380" t="s">
        <v>30</v>
      </c>
      <c r="I380" t="str">
        <f t="shared" si="47"/>
        <v>Data Analyst</v>
      </c>
      <c r="J380" t="s">
        <v>31</v>
      </c>
      <c r="K380" t="s">
        <v>53</v>
      </c>
      <c r="L380">
        <f t="shared" si="48"/>
        <v>20</v>
      </c>
      <c r="M380" t="s">
        <v>33</v>
      </c>
      <c r="N380" t="str">
        <f t="shared" si="49"/>
        <v>Healthcare</v>
      </c>
      <c r="O380" t="s">
        <v>34</v>
      </c>
      <c r="P380" t="str">
        <f t="shared" si="50"/>
        <v>Python</v>
      </c>
      <c r="Q380">
        <v>0</v>
      </c>
      <c r="R380">
        <v>1</v>
      </c>
      <c r="S380">
        <v>2</v>
      </c>
      <c r="T380">
        <v>1</v>
      </c>
      <c r="U380">
        <v>0</v>
      </c>
      <c r="V380">
        <v>3</v>
      </c>
      <c r="W380" t="s">
        <v>85</v>
      </c>
      <c r="X380" t="s">
        <v>70</v>
      </c>
      <c r="Y380" t="s">
        <v>65</v>
      </c>
      <c r="Z380">
        <v>27</v>
      </c>
      <c r="AA380" t="s">
        <v>419</v>
      </c>
      <c r="AB380" t="str">
        <f t="shared" si="51"/>
        <v>Other</v>
      </c>
      <c r="AC380" t="s">
        <v>240</v>
      </c>
      <c r="AD380" t="str">
        <f t="shared" si="52"/>
        <v>Masters</v>
      </c>
      <c r="AE380" t="s">
        <v>58</v>
      </c>
      <c r="AF380" t="str">
        <f t="shared" si="53"/>
        <v>Black or African American</v>
      </c>
    </row>
    <row r="381" spans="1:32" x14ac:dyDescent="0.45">
      <c r="A381" t="s">
        <v>1182</v>
      </c>
      <c r="B381" t="s">
        <v>25</v>
      </c>
      <c r="C381" s="3" t="s">
        <v>1099</v>
      </c>
      <c r="D381" s="3">
        <f t="shared" si="45"/>
        <v>44871</v>
      </c>
      <c r="E381" t="s">
        <v>1183</v>
      </c>
      <c r="F381" s="4">
        <f t="shared" si="46"/>
        <v>0.29791666666666666</v>
      </c>
      <c r="G381" t="s">
        <v>122</v>
      </c>
      <c r="H381" t="s">
        <v>77</v>
      </c>
      <c r="I381" t="str">
        <f t="shared" si="47"/>
        <v>Data Scientist</v>
      </c>
      <c r="J381" t="s">
        <v>31</v>
      </c>
      <c r="K381" t="s">
        <v>1184</v>
      </c>
      <c r="L381" t="e">
        <f t="shared" si="48"/>
        <v>#VALUE!</v>
      </c>
      <c r="M381" t="s">
        <v>103</v>
      </c>
      <c r="N381" t="str">
        <f t="shared" si="49"/>
        <v>Tech</v>
      </c>
      <c r="O381" t="s">
        <v>46</v>
      </c>
      <c r="P381" t="str">
        <f t="shared" si="50"/>
        <v>R</v>
      </c>
      <c r="Q381">
        <v>5</v>
      </c>
      <c r="R381">
        <v>6</v>
      </c>
      <c r="S381">
        <v>5</v>
      </c>
      <c r="T381">
        <v>5</v>
      </c>
      <c r="U381">
        <v>6</v>
      </c>
      <c r="V381">
        <v>6</v>
      </c>
      <c r="W381" t="s">
        <v>69</v>
      </c>
      <c r="X381" t="s">
        <v>1185</v>
      </c>
      <c r="Y381" t="s">
        <v>37</v>
      </c>
      <c r="Z381">
        <v>31</v>
      </c>
      <c r="AA381" t="s">
        <v>38</v>
      </c>
      <c r="AB381" t="str">
        <f t="shared" si="51"/>
        <v>United States</v>
      </c>
      <c r="AC381" t="s">
        <v>324</v>
      </c>
      <c r="AD381" t="str">
        <f t="shared" si="52"/>
        <v>PhD</v>
      </c>
      <c r="AE381" t="s">
        <v>39</v>
      </c>
      <c r="AF381" t="str">
        <f t="shared" si="53"/>
        <v>White or Caucasian</v>
      </c>
    </row>
    <row r="382" spans="1:32" x14ac:dyDescent="0.45">
      <c r="A382" t="s">
        <v>1186</v>
      </c>
      <c r="B382" t="s">
        <v>25</v>
      </c>
      <c r="C382" s="3" t="s">
        <v>1099</v>
      </c>
      <c r="D382" s="3">
        <f t="shared" si="45"/>
        <v>44871</v>
      </c>
      <c r="E382" t="s">
        <v>1187</v>
      </c>
      <c r="F382" s="4">
        <f t="shared" si="46"/>
        <v>0.30208333333333331</v>
      </c>
      <c r="G382" t="s">
        <v>801</v>
      </c>
      <c r="H382" t="s">
        <v>123</v>
      </c>
      <c r="I382" t="str">
        <f t="shared" si="47"/>
        <v>None</v>
      </c>
      <c r="J382" t="s">
        <v>43</v>
      </c>
      <c r="K382" t="s">
        <v>53</v>
      </c>
      <c r="L382">
        <f t="shared" si="48"/>
        <v>20</v>
      </c>
      <c r="M382" t="s">
        <v>1188</v>
      </c>
      <c r="N382" t="str">
        <f t="shared" si="49"/>
        <v>Other</v>
      </c>
      <c r="O382" t="s">
        <v>46</v>
      </c>
      <c r="P382" t="str">
        <f t="shared" si="50"/>
        <v>R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 t="s">
        <v>85</v>
      </c>
      <c r="X382" t="s">
        <v>56</v>
      </c>
      <c r="Y382" t="s">
        <v>37</v>
      </c>
      <c r="Z382">
        <v>24</v>
      </c>
      <c r="AA382" t="s">
        <v>109</v>
      </c>
      <c r="AB382" t="str">
        <f t="shared" si="51"/>
        <v>United Kingdom</v>
      </c>
      <c r="AC382" t="s">
        <v>240</v>
      </c>
      <c r="AD382" t="str">
        <f t="shared" si="52"/>
        <v>Masters</v>
      </c>
      <c r="AE382" t="s">
        <v>48</v>
      </c>
      <c r="AF382" t="str">
        <f t="shared" si="53"/>
        <v>Asian or Asian American</v>
      </c>
    </row>
    <row r="383" spans="1:32" x14ac:dyDescent="0.45">
      <c r="A383" t="s">
        <v>1189</v>
      </c>
      <c r="B383" t="s">
        <v>25</v>
      </c>
      <c r="C383" s="3" t="s">
        <v>1099</v>
      </c>
      <c r="D383" s="3">
        <f t="shared" si="45"/>
        <v>44871</v>
      </c>
      <c r="E383" t="s">
        <v>1190</v>
      </c>
      <c r="F383" s="4">
        <f t="shared" si="46"/>
        <v>0.31111111111111112</v>
      </c>
      <c r="G383" t="s">
        <v>1191</v>
      </c>
      <c r="H383" t="s">
        <v>30</v>
      </c>
      <c r="I383" t="str">
        <f t="shared" si="47"/>
        <v>Data Analyst</v>
      </c>
      <c r="J383" t="s">
        <v>43</v>
      </c>
      <c r="K383" t="s">
        <v>53</v>
      </c>
      <c r="L383">
        <f t="shared" si="48"/>
        <v>20</v>
      </c>
      <c r="M383" t="s">
        <v>45</v>
      </c>
      <c r="N383" t="str">
        <f t="shared" si="49"/>
        <v>Finance</v>
      </c>
      <c r="O383" t="s">
        <v>1192</v>
      </c>
      <c r="P383" t="str">
        <f t="shared" si="50"/>
        <v>Other</v>
      </c>
      <c r="Q383">
        <v>0</v>
      </c>
      <c r="R383">
        <v>6</v>
      </c>
      <c r="S383">
        <v>6</v>
      </c>
      <c r="T383">
        <v>6</v>
      </c>
      <c r="U383">
        <v>5</v>
      </c>
      <c r="V383">
        <v>6</v>
      </c>
      <c r="W383" t="s">
        <v>85</v>
      </c>
      <c r="X383" t="s">
        <v>70</v>
      </c>
      <c r="Y383" t="s">
        <v>65</v>
      </c>
      <c r="Z383">
        <v>20</v>
      </c>
      <c r="AA383" t="s">
        <v>38</v>
      </c>
      <c r="AB383" t="str">
        <f t="shared" si="51"/>
        <v>United States</v>
      </c>
      <c r="AC383" t="s">
        <v>237</v>
      </c>
      <c r="AD383" t="str">
        <f t="shared" si="52"/>
        <v>Bachelors</v>
      </c>
      <c r="AE383" t="s">
        <v>58</v>
      </c>
      <c r="AF383" t="str">
        <f t="shared" si="53"/>
        <v>Black or African American</v>
      </c>
    </row>
    <row r="384" spans="1:32" x14ac:dyDescent="0.45">
      <c r="A384" t="s">
        <v>1193</v>
      </c>
      <c r="B384" t="s">
        <v>25</v>
      </c>
      <c r="C384" s="3" t="s">
        <v>1099</v>
      </c>
      <c r="D384" s="3">
        <f t="shared" si="45"/>
        <v>44871</v>
      </c>
      <c r="E384" t="s">
        <v>1194</v>
      </c>
      <c r="F384" s="4">
        <f t="shared" si="46"/>
        <v>0.31666666666666665</v>
      </c>
      <c r="G384" t="s">
        <v>1195</v>
      </c>
      <c r="H384" t="s">
        <v>1196</v>
      </c>
      <c r="I384" t="str">
        <f t="shared" si="47"/>
        <v>Other</v>
      </c>
      <c r="J384" t="s">
        <v>43</v>
      </c>
      <c r="K384" t="s">
        <v>53</v>
      </c>
      <c r="L384">
        <f t="shared" si="48"/>
        <v>20</v>
      </c>
      <c r="M384" t="s">
        <v>103</v>
      </c>
      <c r="N384" t="str">
        <f t="shared" si="49"/>
        <v>Tech</v>
      </c>
      <c r="O384" t="s">
        <v>46</v>
      </c>
      <c r="P384" t="str">
        <f t="shared" si="50"/>
        <v>R</v>
      </c>
      <c r="Q384">
        <v>2</v>
      </c>
      <c r="R384">
        <v>1</v>
      </c>
      <c r="S384">
        <v>4</v>
      </c>
      <c r="T384">
        <v>1</v>
      </c>
      <c r="U384">
        <v>1</v>
      </c>
      <c r="V384">
        <v>1</v>
      </c>
      <c r="W384" t="s">
        <v>55</v>
      </c>
      <c r="X384" t="s">
        <v>56</v>
      </c>
      <c r="Y384" t="s">
        <v>37</v>
      </c>
      <c r="Z384">
        <v>24</v>
      </c>
      <c r="AA384" t="s">
        <v>147</v>
      </c>
      <c r="AB384" t="str">
        <f t="shared" si="51"/>
        <v>India</v>
      </c>
      <c r="AC384" t="s">
        <v>237</v>
      </c>
      <c r="AD384" t="str">
        <f t="shared" si="52"/>
        <v>Bachelors</v>
      </c>
      <c r="AE384" t="s">
        <v>48</v>
      </c>
      <c r="AF384" t="str">
        <f t="shared" si="53"/>
        <v>Asian or Asian American</v>
      </c>
    </row>
    <row r="385" spans="1:32" x14ac:dyDescent="0.45">
      <c r="A385" t="s">
        <v>1197</v>
      </c>
      <c r="B385" t="s">
        <v>25</v>
      </c>
      <c r="C385" s="3" t="s">
        <v>1099</v>
      </c>
      <c r="D385" s="3">
        <f t="shared" si="45"/>
        <v>44871</v>
      </c>
      <c r="E385" t="s">
        <v>1198</v>
      </c>
      <c r="F385" s="4">
        <f t="shared" si="46"/>
        <v>0.31736111111111109</v>
      </c>
      <c r="G385" t="s">
        <v>317</v>
      </c>
      <c r="H385" t="s">
        <v>123</v>
      </c>
      <c r="I385" t="str">
        <f t="shared" si="47"/>
        <v>None</v>
      </c>
      <c r="J385" t="s">
        <v>31</v>
      </c>
      <c r="K385" t="s">
        <v>53</v>
      </c>
      <c r="L385">
        <f t="shared" si="48"/>
        <v>20</v>
      </c>
      <c r="M385" t="s">
        <v>491</v>
      </c>
      <c r="N385" t="str">
        <f t="shared" si="49"/>
        <v>Other</v>
      </c>
      <c r="O385" t="s">
        <v>46</v>
      </c>
      <c r="P385" t="str">
        <f t="shared" si="50"/>
        <v>R</v>
      </c>
      <c r="Q385">
        <v>3</v>
      </c>
      <c r="R385">
        <v>6</v>
      </c>
      <c r="S385">
        <v>7</v>
      </c>
      <c r="T385">
        <v>6</v>
      </c>
      <c r="U385">
        <v>4</v>
      </c>
      <c r="V385">
        <v>4</v>
      </c>
      <c r="W385" t="s">
        <v>85</v>
      </c>
      <c r="X385" t="s">
        <v>56</v>
      </c>
      <c r="Y385" t="s">
        <v>37</v>
      </c>
      <c r="Z385">
        <v>24</v>
      </c>
      <c r="AA385" t="s">
        <v>709</v>
      </c>
      <c r="AB385" t="str">
        <f t="shared" si="51"/>
        <v>Other</v>
      </c>
      <c r="AC385" t="s">
        <v>237</v>
      </c>
      <c r="AD385" t="str">
        <f t="shared" si="52"/>
        <v>Bachelors</v>
      </c>
      <c r="AE385" t="s">
        <v>39</v>
      </c>
      <c r="AF385" t="str">
        <f t="shared" si="53"/>
        <v>White or Caucasian</v>
      </c>
    </row>
    <row r="386" spans="1:32" x14ac:dyDescent="0.45">
      <c r="A386" t="s">
        <v>1199</v>
      </c>
      <c r="B386" t="s">
        <v>25</v>
      </c>
      <c r="C386" s="3" t="s">
        <v>1099</v>
      </c>
      <c r="D386" s="3">
        <f t="shared" si="45"/>
        <v>44871</v>
      </c>
      <c r="E386" t="s">
        <v>1200</v>
      </c>
      <c r="F386" s="4">
        <f t="shared" si="46"/>
        <v>0.31805555555555554</v>
      </c>
      <c r="G386" t="s">
        <v>42</v>
      </c>
      <c r="H386" t="s">
        <v>123</v>
      </c>
      <c r="I386" t="str">
        <f t="shared" si="47"/>
        <v>None</v>
      </c>
      <c r="J386" t="s">
        <v>43</v>
      </c>
      <c r="K386" t="s">
        <v>53</v>
      </c>
      <c r="L386">
        <f t="shared" si="48"/>
        <v>20</v>
      </c>
      <c r="M386" t="s">
        <v>1201</v>
      </c>
      <c r="N386" t="str">
        <f t="shared" si="49"/>
        <v>Other</v>
      </c>
      <c r="O386" t="s">
        <v>46</v>
      </c>
      <c r="P386" t="str">
        <f t="shared" si="50"/>
        <v>R</v>
      </c>
      <c r="Q386">
        <v>0</v>
      </c>
      <c r="R386">
        <v>1</v>
      </c>
      <c r="S386">
        <v>3</v>
      </c>
      <c r="T386">
        <v>0</v>
      </c>
      <c r="U386">
        <v>0</v>
      </c>
      <c r="V386">
        <v>0</v>
      </c>
      <c r="W386" t="s">
        <v>85</v>
      </c>
      <c r="X386" t="s">
        <v>56</v>
      </c>
      <c r="Y386" t="s">
        <v>37</v>
      </c>
      <c r="Z386">
        <v>41</v>
      </c>
      <c r="AA386" t="s">
        <v>207</v>
      </c>
      <c r="AB386" t="str">
        <f t="shared" si="51"/>
        <v>Other</v>
      </c>
      <c r="AC386" t="s">
        <v>237</v>
      </c>
      <c r="AD386" t="str">
        <f t="shared" si="52"/>
        <v>Bachelors</v>
      </c>
      <c r="AE386" t="s">
        <v>91</v>
      </c>
      <c r="AF386" t="str">
        <f t="shared" si="53"/>
        <v>Hispanic or Latino</v>
      </c>
    </row>
    <row r="387" spans="1:32" x14ac:dyDescent="0.45">
      <c r="A387" t="s">
        <v>1202</v>
      </c>
      <c r="B387" t="s">
        <v>25</v>
      </c>
      <c r="C387" s="3" t="s">
        <v>1099</v>
      </c>
      <c r="D387" s="3">
        <f t="shared" ref="D387:D450" si="54">DATEVALUE(C387)</f>
        <v>44871</v>
      </c>
      <c r="E387" t="s">
        <v>1203</v>
      </c>
      <c r="F387" s="4">
        <f t="shared" ref="F387:F450" si="55">TIMEVALUE(E387)</f>
        <v>0.31944444444444442</v>
      </c>
      <c r="G387" t="s">
        <v>1080</v>
      </c>
      <c r="H387" t="s">
        <v>30</v>
      </c>
      <c r="I387" t="str">
        <f t="shared" ref="I387:I450" si="56">IF(LEFT(H387,5)="Other","Other",IF(ISNUMBER(SEARCH("None",H387)),"None",H387))</f>
        <v>Data Analyst</v>
      </c>
      <c r="J387" t="s">
        <v>31</v>
      </c>
      <c r="K387" t="s">
        <v>87</v>
      </c>
      <c r="L387">
        <f t="shared" ref="L387:L450" si="57">(VALUE(SUBSTITUTE(LEFT(K387,FIND("-",K387)-1),"k","")) + VALUE(SUBSTITUTE(MID(K387,FIND("-",K387)+1,LEN(K387)),"k","")))/2</f>
        <v>95.5</v>
      </c>
      <c r="M387" t="s">
        <v>103</v>
      </c>
      <c r="N387" t="str">
        <f t="shared" ref="N387:N450" si="58">IF(LEFT(M387,5)="Other","Other",IF(ISNUMBER(SEARCH("None",M387)),"None",M387))</f>
        <v>Tech</v>
      </c>
      <c r="O387" t="s">
        <v>46</v>
      </c>
      <c r="P387" t="str">
        <f t="shared" ref="P387:P450" si="59">IF(LEFT(O387,5)="Other","Other",IF(ISNUMBER(SEARCH("None",O387)),"None",O387))</f>
        <v>R</v>
      </c>
      <c r="Q387">
        <v>8</v>
      </c>
      <c r="R387">
        <v>8</v>
      </c>
      <c r="S387">
        <v>8</v>
      </c>
      <c r="T387">
        <v>8</v>
      </c>
      <c r="U387">
        <v>8</v>
      </c>
      <c r="V387">
        <v>8</v>
      </c>
      <c r="W387" t="s">
        <v>69</v>
      </c>
      <c r="X387" t="s">
        <v>70</v>
      </c>
      <c r="Y387" t="s">
        <v>37</v>
      </c>
      <c r="Z387">
        <v>41</v>
      </c>
      <c r="AA387" t="s">
        <v>38</v>
      </c>
      <c r="AB387" t="str">
        <f t="shared" ref="AB387:AB450" si="60">IF(LEFT(AA387,5)="Other","Other",IF(ISNUMBER(SEARCH("None",AA387)),"None",AA387))</f>
        <v>United States</v>
      </c>
      <c r="AC387" t="s">
        <v>237</v>
      </c>
      <c r="AD387" t="str">
        <f t="shared" ref="AD387:AD450" si="61">IF(AC387="","none",AC387)</f>
        <v>Bachelors</v>
      </c>
      <c r="AE387" t="s">
        <v>39</v>
      </c>
      <c r="AF387" t="str">
        <f t="shared" ref="AF387:AF450" si="62">IF(LEFT(AE387,5)="Other","Other",IF(ISNUMBER(SEARCH("None",AE387)),"None",AE387))</f>
        <v>White or Caucasian</v>
      </c>
    </row>
    <row r="388" spans="1:32" x14ac:dyDescent="0.45">
      <c r="A388" t="s">
        <v>1204</v>
      </c>
      <c r="B388" t="s">
        <v>25</v>
      </c>
      <c r="C388" s="3" t="s">
        <v>1099</v>
      </c>
      <c r="D388" s="3">
        <f t="shared" si="54"/>
        <v>44871</v>
      </c>
      <c r="E388" t="s">
        <v>1205</v>
      </c>
      <c r="F388" s="4">
        <f t="shared" si="55"/>
        <v>0.33819444444444446</v>
      </c>
      <c r="G388" t="s">
        <v>196</v>
      </c>
      <c r="H388" t="s">
        <v>1206</v>
      </c>
      <c r="I388" t="str">
        <f t="shared" si="56"/>
        <v>Other</v>
      </c>
      <c r="J388" t="s">
        <v>43</v>
      </c>
      <c r="K388" t="s">
        <v>63</v>
      </c>
      <c r="L388">
        <f t="shared" si="57"/>
        <v>187.5</v>
      </c>
      <c r="M388" t="s">
        <v>83</v>
      </c>
      <c r="N388" t="str">
        <f t="shared" si="58"/>
        <v>Other</v>
      </c>
      <c r="O388" t="s">
        <v>34</v>
      </c>
      <c r="P388" t="str">
        <f t="shared" si="59"/>
        <v>Python</v>
      </c>
      <c r="Q388">
        <v>9</v>
      </c>
      <c r="R388">
        <v>8</v>
      </c>
      <c r="S388">
        <v>9</v>
      </c>
      <c r="T388">
        <v>10</v>
      </c>
      <c r="U388">
        <v>8</v>
      </c>
      <c r="V388">
        <v>10</v>
      </c>
      <c r="W388" t="s">
        <v>85</v>
      </c>
      <c r="X388" t="s">
        <v>114</v>
      </c>
      <c r="Y388" t="s">
        <v>37</v>
      </c>
      <c r="Z388">
        <v>43</v>
      </c>
      <c r="AA388" t="s">
        <v>38</v>
      </c>
      <c r="AB388" t="str">
        <f t="shared" si="60"/>
        <v>United States</v>
      </c>
      <c r="AC388" t="s">
        <v>237</v>
      </c>
      <c r="AD388" t="str">
        <f t="shared" si="61"/>
        <v>Bachelors</v>
      </c>
      <c r="AE388" t="s">
        <v>39</v>
      </c>
      <c r="AF388" t="str">
        <f t="shared" si="62"/>
        <v>White or Caucasian</v>
      </c>
    </row>
    <row r="389" spans="1:32" x14ac:dyDescent="0.45">
      <c r="A389" t="s">
        <v>1207</v>
      </c>
      <c r="B389" t="s">
        <v>25</v>
      </c>
      <c r="C389" s="3" t="s">
        <v>1099</v>
      </c>
      <c r="D389" s="3">
        <f t="shared" si="54"/>
        <v>44871</v>
      </c>
      <c r="E389" t="s">
        <v>1208</v>
      </c>
      <c r="F389" s="4">
        <f t="shared" si="55"/>
        <v>0.33958333333333335</v>
      </c>
      <c r="G389" t="s">
        <v>1209</v>
      </c>
      <c r="H389" t="s">
        <v>30</v>
      </c>
      <c r="I389" t="str">
        <f t="shared" si="56"/>
        <v>Data Analyst</v>
      </c>
      <c r="J389" t="s">
        <v>43</v>
      </c>
      <c r="K389" t="s">
        <v>94</v>
      </c>
      <c r="L389">
        <f t="shared" si="57"/>
        <v>75.5</v>
      </c>
      <c r="M389" t="s">
        <v>33</v>
      </c>
      <c r="N389" t="str">
        <f t="shared" si="58"/>
        <v>Healthcare</v>
      </c>
      <c r="O389" t="s">
        <v>34</v>
      </c>
      <c r="P389" t="str">
        <f t="shared" si="59"/>
        <v>Python</v>
      </c>
      <c r="Q389">
        <v>7</v>
      </c>
      <c r="R389">
        <v>7</v>
      </c>
      <c r="S389">
        <v>8</v>
      </c>
      <c r="T389">
        <v>4</v>
      </c>
      <c r="U389">
        <v>6</v>
      </c>
      <c r="V389">
        <v>9</v>
      </c>
      <c r="W389" t="s">
        <v>55</v>
      </c>
      <c r="X389" t="s">
        <v>36</v>
      </c>
      <c r="Y389" t="s">
        <v>65</v>
      </c>
      <c r="Z389">
        <v>38</v>
      </c>
      <c r="AA389" t="s">
        <v>38</v>
      </c>
      <c r="AB389" t="str">
        <f t="shared" si="60"/>
        <v>United States</v>
      </c>
      <c r="AC389" t="s">
        <v>237</v>
      </c>
      <c r="AD389" t="str">
        <f t="shared" si="61"/>
        <v>Bachelors</v>
      </c>
      <c r="AE389" t="s">
        <v>39</v>
      </c>
      <c r="AF389" t="str">
        <f t="shared" si="62"/>
        <v>White or Caucasian</v>
      </c>
    </row>
    <row r="390" spans="1:32" x14ac:dyDescent="0.45">
      <c r="A390" t="s">
        <v>1210</v>
      </c>
      <c r="B390" t="s">
        <v>25</v>
      </c>
      <c r="C390" s="3" t="s">
        <v>1099</v>
      </c>
      <c r="D390" s="3">
        <f t="shared" si="54"/>
        <v>44871</v>
      </c>
      <c r="E390" t="s">
        <v>1211</v>
      </c>
      <c r="F390" s="4">
        <f t="shared" si="55"/>
        <v>0.34305555555555556</v>
      </c>
      <c r="G390" t="s">
        <v>1209</v>
      </c>
      <c r="H390" t="s">
        <v>30</v>
      </c>
      <c r="I390" t="str">
        <f t="shared" si="56"/>
        <v>Data Analyst</v>
      </c>
      <c r="J390" t="s">
        <v>31</v>
      </c>
      <c r="K390" t="s">
        <v>53</v>
      </c>
      <c r="L390">
        <f t="shared" si="57"/>
        <v>20</v>
      </c>
      <c r="M390" t="s">
        <v>83</v>
      </c>
      <c r="N390" t="str">
        <f t="shared" si="58"/>
        <v>Other</v>
      </c>
      <c r="O390" t="s">
        <v>34</v>
      </c>
      <c r="P390" t="str">
        <f t="shared" si="59"/>
        <v>Python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6</v>
      </c>
      <c r="W390" t="s">
        <v>85</v>
      </c>
      <c r="X390" t="s">
        <v>70</v>
      </c>
      <c r="Y390" t="s">
        <v>65</v>
      </c>
      <c r="Z390">
        <v>28</v>
      </c>
      <c r="AA390" t="s">
        <v>739</v>
      </c>
      <c r="AB390" t="str">
        <f t="shared" si="60"/>
        <v>Other</v>
      </c>
      <c r="AC390" t="s">
        <v>237</v>
      </c>
      <c r="AD390" t="str">
        <f t="shared" si="61"/>
        <v>Bachelors</v>
      </c>
      <c r="AE390" t="s">
        <v>48</v>
      </c>
      <c r="AF390" t="str">
        <f t="shared" si="62"/>
        <v>Asian or Asian American</v>
      </c>
    </row>
    <row r="391" spans="1:32" x14ac:dyDescent="0.45">
      <c r="A391" t="s">
        <v>1212</v>
      </c>
      <c r="B391" t="s">
        <v>25</v>
      </c>
      <c r="C391" s="3" t="s">
        <v>1099</v>
      </c>
      <c r="D391" s="3">
        <f t="shared" si="54"/>
        <v>44871</v>
      </c>
      <c r="E391" t="s">
        <v>1213</v>
      </c>
      <c r="F391" s="4">
        <f t="shared" si="55"/>
        <v>0.34583333333333333</v>
      </c>
      <c r="G391" t="s">
        <v>42</v>
      </c>
      <c r="H391" t="s">
        <v>30</v>
      </c>
      <c r="I391" t="str">
        <f t="shared" si="56"/>
        <v>Data Analyst</v>
      </c>
      <c r="J391" t="s">
        <v>31</v>
      </c>
      <c r="K391" t="s">
        <v>87</v>
      </c>
      <c r="L391">
        <f t="shared" si="57"/>
        <v>95.5</v>
      </c>
      <c r="M391" t="s">
        <v>33</v>
      </c>
      <c r="N391" t="str">
        <f t="shared" si="58"/>
        <v>Healthcare</v>
      </c>
      <c r="O391" t="s">
        <v>34</v>
      </c>
      <c r="P391" t="str">
        <f t="shared" si="59"/>
        <v>Python</v>
      </c>
      <c r="Q391">
        <v>10</v>
      </c>
      <c r="R391">
        <v>8</v>
      </c>
      <c r="S391">
        <v>6</v>
      </c>
      <c r="T391">
        <v>10</v>
      </c>
      <c r="U391">
        <v>7</v>
      </c>
      <c r="V391">
        <v>5</v>
      </c>
      <c r="W391" t="s">
        <v>85</v>
      </c>
      <c r="X391" t="s">
        <v>114</v>
      </c>
      <c r="Y391" t="s">
        <v>65</v>
      </c>
      <c r="Z391">
        <v>31</v>
      </c>
      <c r="AA391" t="s">
        <v>267</v>
      </c>
      <c r="AB391" t="str">
        <f t="shared" si="60"/>
        <v>Other</v>
      </c>
      <c r="AC391" t="s">
        <v>237</v>
      </c>
      <c r="AD391" t="str">
        <f t="shared" si="61"/>
        <v>Bachelors</v>
      </c>
      <c r="AE391" t="s">
        <v>91</v>
      </c>
      <c r="AF391" t="str">
        <f t="shared" si="62"/>
        <v>Hispanic or Latino</v>
      </c>
    </row>
    <row r="392" spans="1:32" x14ac:dyDescent="0.45">
      <c r="A392" t="s">
        <v>1214</v>
      </c>
      <c r="B392" t="s">
        <v>25</v>
      </c>
      <c r="C392" s="3" t="s">
        <v>1099</v>
      </c>
      <c r="D392" s="3">
        <f t="shared" si="54"/>
        <v>44871</v>
      </c>
      <c r="E392" t="s">
        <v>1215</v>
      </c>
      <c r="F392" s="4">
        <f t="shared" si="55"/>
        <v>0.35833333333333334</v>
      </c>
      <c r="G392" t="s">
        <v>615</v>
      </c>
      <c r="H392" t="s">
        <v>30</v>
      </c>
      <c r="I392" t="str">
        <f t="shared" si="56"/>
        <v>Data Analyst</v>
      </c>
      <c r="J392" t="s">
        <v>31</v>
      </c>
      <c r="K392" t="s">
        <v>87</v>
      </c>
      <c r="L392">
        <f t="shared" si="57"/>
        <v>95.5</v>
      </c>
      <c r="M392" t="s">
        <v>486</v>
      </c>
      <c r="N392" t="str">
        <f t="shared" si="58"/>
        <v>Other</v>
      </c>
      <c r="O392" t="s">
        <v>883</v>
      </c>
      <c r="P392" t="str">
        <f t="shared" si="59"/>
        <v>Other</v>
      </c>
      <c r="Q392">
        <v>8</v>
      </c>
      <c r="R392">
        <v>7</v>
      </c>
      <c r="S392">
        <v>8</v>
      </c>
      <c r="T392">
        <v>6</v>
      </c>
      <c r="U392">
        <v>7</v>
      </c>
      <c r="V392">
        <v>8</v>
      </c>
      <c r="W392" t="s">
        <v>69</v>
      </c>
      <c r="X392" t="s">
        <v>56</v>
      </c>
      <c r="Y392" t="s">
        <v>65</v>
      </c>
      <c r="Z392">
        <v>28</v>
      </c>
      <c r="AA392" t="s">
        <v>38</v>
      </c>
      <c r="AB392" t="str">
        <f t="shared" si="60"/>
        <v>United States</v>
      </c>
      <c r="AC392" t="s">
        <v>240</v>
      </c>
      <c r="AD392" t="str">
        <f t="shared" si="61"/>
        <v>Masters</v>
      </c>
      <c r="AE392" t="s">
        <v>39</v>
      </c>
      <c r="AF392" t="str">
        <f t="shared" si="62"/>
        <v>White or Caucasian</v>
      </c>
    </row>
    <row r="393" spans="1:32" x14ac:dyDescent="0.45">
      <c r="A393" t="s">
        <v>1216</v>
      </c>
      <c r="B393" t="s">
        <v>25</v>
      </c>
      <c r="C393" s="3" t="s">
        <v>1099</v>
      </c>
      <c r="D393" s="3">
        <f t="shared" si="54"/>
        <v>44871</v>
      </c>
      <c r="E393" t="s">
        <v>27</v>
      </c>
      <c r="F393" s="4">
        <f t="shared" si="55"/>
        <v>0.35972222222222222</v>
      </c>
      <c r="G393" t="s">
        <v>107</v>
      </c>
      <c r="H393" t="s">
        <v>30</v>
      </c>
      <c r="I393" t="str">
        <f t="shared" si="56"/>
        <v>Data Analyst</v>
      </c>
      <c r="J393" t="s">
        <v>43</v>
      </c>
      <c r="K393" t="s">
        <v>44</v>
      </c>
      <c r="L393">
        <f t="shared" si="57"/>
        <v>53</v>
      </c>
      <c r="M393" t="s">
        <v>33</v>
      </c>
      <c r="N393" t="str">
        <f t="shared" si="58"/>
        <v>Healthcare</v>
      </c>
      <c r="O393" t="s">
        <v>257</v>
      </c>
      <c r="P393" t="str">
        <f t="shared" si="59"/>
        <v>C/C++</v>
      </c>
      <c r="Q393">
        <v>7</v>
      </c>
      <c r="R393">
        <v>8</v>
      </c>
      <c r="S393">
        <v>9</v>
      </c>
      <c r="T393">
        <v>9</v>
      </c>
      <c r="U393">
        <v>4</v>
      </c>
      <c r="V393">
        <v>9</v>
      </c>
      <c r="W393" t="s">
        <v>55</v>
      </c>
      <c r="X393" t="s">
        <v>36</v>
      </c>
      <c r="Y393" t="s">
        <v>37</v>
      </c>
      <c r="Z393">
        <v>23</v>
      </c>
      <c r="AA393" t="s">
        <v>38</v>
      </c>
      <c r="AB393" t="str">
        <f t="shared" si="60"/>
        <v>United States</v>
      </c>
      <c r="AC393" t="s">
        <v>240</v>
      </c>
      <c r="AD393" t="str">
        <f t="shared" si="61"/>
        <v>Masters</v>
      </c>
      <c r="AE393" t="s">
        <v>48</v>
      </c>
      <c r="AF393" t="str">
        <f t="shared" si="62"/>
        <v>Asian or Asian American</v>
      </c>
    </row>
    <row r="394" spans="1:32" x14ac:dyDescent="0.45">
      <c r="A394" t="s">
        <v>1217</v>
      </c>
      <c r="B394" t="s">
        <v>25</v>
      </c>
      <c r="C394" s="3" t="s">
        <v>1099</v>
      </c>
      <c r="D394" s="3">
        <f t="shared" si="54"/>
        <v>44871</v>
      </c>
      <c r="E394" t="s">
        <v>41</v>
      </c>
      <c r="F394" s="4">
        <f t="shared" si="55"/>
        <v>0.3611111111111111</v>
      </c>
      <c r="G394" t="s">
        <v>141</v>
      </c>
      <c r="H394" t="s">
        <v>30</v>
      </c>
      <c r="I394" t="str">
        <f t="shared" si="56"/>
        <v>Data Analyst</v>
      </c>
      <c r="J394" t="s">
        <v>43</v>
      </c>
      <c r="K394" t="s">
        <v>44</v>
      </c>
      <c r="L394">
        <f t="shared" si="57"/>
        <v>53</v>
      </c>
      <c r="M394" t="s">
        <v>1218</v>
      </c>
      <c r="N394" t="str">
        <f t="shared" si="58"/>
        <v>Other</v>
      </c>
      <c r="O394" t="s">
        <v>34</v>
      </c>
      <c r="P394" t="str">
        <f t="shared" si="59"/>
        <v>Python</v>
      </c>
      <c r="Q394">
        <v>5</v>
      </c>
      <c r="R394">
        <v>5</v>
      </c>
      <c r="S394">
        <v>4</v>
      </c>
      <c r="T394">
        <v>5</v>
      </c>
      <c r="U394">
        <v>6</v>
      </c>
      <c r="V394">
        <v>6</v>
      </c>
      <c r="W394" t="s">
        <v>85</v>
      </c>
      <c r="X394" t="s">
        <v>70</v>
      </c>
      <c r="Y394" t="s">
        <v>37</v>
      </c>
      <c r="Z394">
        <v>25</v>
      </c>
      <c r="AA394" t="s">
        <v>109</v>
      </c>
      <c r="AB394" t="str">
        <f t="shared" si="60"/>
        <v>United Kingdom</v>
      </c>
      <c r="AC394" t="s">
        <v>237</v>
      </c>
      <c r="AD394" t="str">
        <f t="shared" si="61"/>
        <v>Bachelors</v>
      </c>
      <c r="AE394" t="s">
        <v>58</v>
      </c>
      <c r="AF394" t="str">
        <f t="shared" si="62"/>
        <v>Black or African American</v>
      </c>
    </row>
    <row r="395" spans="1:32" x14ac:dyDescent="0.45">
      <c r="A395" t="s">
        <v>1219</v>
      </c>
      <c r="B395" t="s">
        <v>25</v>
      </c>
      <c r="C395" s="3" t="s">
        <v>1099</v>
      </c>
      <c r="D395" s="3">
        <f t="shared" si="54"/>
        <v>44871</v>
      </c>
      <c r="E395" t="s">
        <v>41</v>
      </c>
      <c r="F395" s="4">
        <f t="shared" si="55"/>
        <v>0.3611111111111111</v>
      </c>
      <c r="G395" t="s">
        <v>344</v>
      </c>
      <c r="H395" t="s">
        <v>1220</v>
      </c>
      <c r="I395" t="str">
        <f t="shared" si="56"/>
        <v>Other</v>
      </c>
      <c r="J395" t="s">
        <v>43</v>
      </c>
      <c r="K395" t="s">
        <v>53</v>
      </c>
      <c r="L395">
        <f t="shared" si="57"/>
        <v>20</v>
      </c>
      <c r="M395" t="s">
        <v>103</v>
      </c>
      <c r="N395" t="str">
        <f t="shared" si="58"/>
        <v>Tech</v>
      </c>
      <c r="O395" t="s">
        <v>46</v>
      </c>
      <c r="P395" t="str">
        <f t="shared" si="59"/>
        <v>R</v>
      </c>
      <c r="Q395">
        <v>2</v>
      </c>
      <c r="R395">
        <v>5</v>
      </c>
      <c r="S395">
        <v>2</v>
      </c>
      <c r="T395">
        <v>8</v>
      </c>
      <c r="U395">
        <v>9</v>
      </c>
      <c r="V395">
        <v>10</v>
      </c>
      <c r="W395" t="s">
        <v>69</v>
      </c>
      <c r="X395" t="s">
        <v>36</v>
      </c>
      <c r="Y395" t="s">
        <v>37</v>
      </c>
      <c r="Z395">
        <v>26</v>
      </c>
      <c r="AA395" t="s">
        <v>500</v>
      </c>
      <c r="AB395" t="str">
        <f t="shared" si="60"/>
        <v>Other</v>
      </c>
      <c r="AC395" t="s">
        <v>240</v>
      </c>
      <c r="AD395" t="str">
        <f t="shared" si="61"/>
        <v>Masters</v>
      </c>
      <c r="AE395" t="s">
        <v>39</v>
      </c>
      <c r="AF395" t="str">
        <f t="shared" si="62"/>
        <v>White or Caucasian</v>
      </c>
    </row>
    <row r="396" spans="1:32" x14ac:dyDescent="0.45">
      <c r="A396" t="s">
        <v>1221</v>
      </c>
      <c r="B396" t="s">
        <v>25</v>
      </c>
      <c r="C396" s="3" t="s">
        <v>1099</v>
      </c>
      <c r="D396" s="3">
        <f t="shared" si="54"/>
        <v>44871</v>
      </c>
      <c r="E396" t="s">
        <v>50</v>
      </c>
      <c r="F396" s="4">
        <f t="shared" si="55"/>
        <v>0.36249999999999999</v>
      </c>
      <c r="G396" t="s">
        <v>116</v>
      </c>
      <c r="H396" t="s">
        <v>77</v>
      </c>
      <c r="I396" t="str">
        <f t="shared" si="56"/>
        <v>Data Scientist</v>
      </c>
      <c r="J396" t="s">
        <v>31</v>
      </c>
      <c r="K396" t="s">
        <v>82</v>
      </c>
      <c r="L396">
        <f t="shared" si="57"/>
        <v>137.5</v>
      </c>
      <c r="M396" t="s">
        <v>45</v>
      </c>
      <c r="N396" t="str">
        <f t="shared" si="58"/>
        <v>Finance</v>
      </c>
      <c r="O396" t="s">
        <v>34</v>
      </c>
      <c r="P396" t="str">
        <f t="shared" si="59"/>
        <v>Python</v>
      </c>
      <c r="Q396">
        <v>9</v>
      </c>
      <c r="R396">
        <v>4</v>
      </c>
      <c r="S396">
        <v>8</v>
      </c>
      <c r="T396">
        <v>7</v>
      </c>
      <c r="U396">
        <v>5</v>
      </c>
      <c r="V396">
        <v>6</v>
      </c>
      <c r="W396" t="s">
        <v>69</v>
      </c>
      <c r="X396" t="s">
        <v>56</v>
      </c>
      <c r="Y396" t="s">
        <v>37</v>
      </c>
      <c r="Z396">
        <v>35</v>
      </c>
      <c r="AA396" t="s">
        <v>38</v>
      </c>
      <c r="AB396" t="str">
        <f t="shared" si="60"/>
        <v>United States</v>
      </c>
      <c r="AC396" t="s">
        <v>237</v>
      </c>
      <c r="AD396" t="str">
        <f t="shared" si="61"/>
        <v>Bachelors</v>
      </c>
      <c r="AE396" t="s">
        <v>39</v>
      </c>
      <c r="AF396" t="str">
        <f t="shared" si="62"/>
        <v>White or Caucasian</v>
      </c>
    </row>
    <row r="397" spans="1:32" x14ac:dyDescent="0.45">
      <c r="A397" t="s">
        <v>1222</v>
      </c>
      <c r="B397" t="s">
        <v>25</v>
      </c>
      <c r="C397" s="3" t="s">
        <v>1099</v>
      </c>
      <c r="D397" s="3">
        <f t="shared" si="54"/>
        <v>44871</v>
      </c>
      <c r="E397" t="s">
        <v>149</v>
      </c>
      <c r="F397" s="4">
        <f t="shared" si="55"/>
        <v>0.36944444444444446</v>
      </c>
      <c r="G397" t="s">
        <v>822</v>
      </c>
      <c r="H397" t="s">
        <v>30</v>
      </c>
      <c r="I397" t="str">
        <f t="shared" si="56"/>
        <v>Data Analyst</v>
      </c>
      <c r="J397" t="s">
        <v>31</v>
      </c>
      <c r="K397" t="s">
        <v>32</v>
      </c>
      <c r="L397">
        <f t="shared" si="57"/>
        <v>115.5</v>
      </c>
      <c r="M397" t="s">
        <v>83</v>
      </c>
      <c r="N397" t="str">
        <f t="shared" si="58"/>
        <v>Other</v>
      </c>
      <c r="O397" t="s">
        <v>46</v>
      </c>
      <c r="P397" t="str">
        <f t="shared" si="59"/>
        <v>R</v>
      </c>
      <c r="Q397">
        <v>8</v>
      </c>
      <c r="R397">
        <v>9</v>
      </c>
      <c r="S397">
        <v>9</v>
      </c>
      <c r="T397">
        <v>7</v>
      </c>
      <c r="U397">
        <v>8</v>
      </c>
      <c r="V397">
        <v>8</v>
      </c>
      <c r="W397" t="s">
        <v>85</v>
      </c>
      <c r="X397" t="s">
        <v>36</v>
      </c>
      <c r="Y397" t="s">
        <v>37</v>
      </c>
      <c r="Z397">
        <v>30</v>
      </c>
      <c r="AA397" t="s">
        <v>337</v>
      </c>
      <c r="AB397" t="str">
        <f t="shared" si="60"/>
        <v>Other</v>
      </c>
      <c r="AC397" t="s">
        <v>240</v>
      </c>
      <c r="AD397" t="str">
        <f t="shared" si="61"/>
        <v>Masters</v>
      </c>
      <c r="AE397" t="s">
        <v>39</v>
      </c>
      <c r="AF397" t="str">
        <f t="shared" si="62"/>
        <v>White or Caucasian</v>
      </c>
    </row>
    <row r="398" spans="1:32" x14ac:dyDescent="0.45">
      <c r="A398" t="s">
        <v>1223</v>
      </c>
      <c r="B398" t="s">
        <v>25</v>
      </c>
      <c r="C398" s="3" t="s">
        <v>1099</v>
      </c>
      <c r="D398" s="3">
        <f t="shared" si="54"/>
        <v>44871</v>
      </c>
      <c r="E398" t="s">
        <v>214</v>
      </c>
      <c r="F398" s="4">
        <f t="shared" si="55"/>
        <v>0.37430555555555556</v>
      </c>
      <c r="G398" t="s">
        <v>165</v>
      </c>
      <c r="H398" t="s">
        <v>30</v>
      </c>
      <c r="I398" t="str">
        <f t="shared" si="56"/>
        <v>Data Analyst</v>
      </c>
      <c r="J398" t="s">
        <v>31</v>
      </c>
      <c r="K398" t="s">
        <v>87</v>
      </c>
      <c r="L398">
        <f t="shared" si="57"/>
        <v>95.5</v>
      </c>
      <c r="M398" t="s">
        <v>103</v>
      </c>
      <c r="N398" t="str">
        <f t="shared" si="58"/>
        <v>Tech</v>
      </c>
      <c r="O398" t="s">
        <v>46</v>
      </c>
      <c r="P398" t="str">
        <f t="shared" si="59"/>
        <v>R</v>
      </c>
      <c r="Q398">
        <v>3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85</v>
      </c>
      <c r="X398" t="s">
        <v>70</v>
      </c>
      <c r="Y398" t="s">
        <v>37</v>
      </c>
      <c r="Z398">
        <v>35</v>
      </c>
      <c r="AA398" t="s">
        <v>109</v>
      </c>
      <c r="AB398" t="str">
        <f t="shared" si="60"/>
        <v>United Kingdom</v>
      </c>
      <c r="AC398" t="s">
        <v>237</v>
      </c>
      <c r="AD398" t="str">
        <f t="shared" si="61"/>
        <v>Bachelors</v>
      </c>
      <c r="AE398" t="s">
        <v>39</v>
      </c>
      <c r="AF398" t="str">
        <f t="shared" si="62"/>
        <v>White or Caucasian</v>
      </c>
    </row>
    <row r="399" spans="1:32" x14ac:dyDescent="0.45">
      <c r="A399" t="s">
        <v>1224</v>
      </c>
      <c r="B399" t="s">
        <v>25</v>
      </c>
      <c r="C399" s="3" t="s">
        <v>1099</v>
      </c>
      <c r="D399" s="3">
        <f t="shared" si="54"/>
        <v>44871</v>
      </c>
      <c r="E399" t="s">
        <v>223</v>
      </c>
      <c r="F399" s="4">
        <f t="shared" si="55"/>
        <v>0.37638888888888888</v>
      </c>
      <c r="G399" t="s">
        <v>1225</v>
      </c>
      <c r="H399" t="s">
        <v>30</v>
      </c>
      <c r="I399" t="str">
        <f t="shared" si="56"/>
        <v>Data Analyst</v>
      </c>
      <c r="J399" t="s">
        <v>31</v>
      </c>
      <c r="K399" t="s">
        <v>53</v>
      </c>
      <c r="L399">
        <f t="shared" si="57"/>
        <v>20</v>
      </c>
      <c r="M399" t="s">
        <v>90</v>
      </c>
      <c r="N399" t="str">
        <f t="shared" si="58"/>
        <v>Telecommunication</v>
      </c>
      <c r="O399" t="s">
        <v>34</v>
      </c>
      <c r="P399" t="str">
        <f t="shared" si="59"/>
        <v>Python</v>
      </c>
      <c r="Q399">
        <v>0</v>
      </c>
      <c r="R399">
        <v>8</v>
      </c>
      <c r="S399">
        <v>5</v>
      </c>
      <c r="T399">
        <v>5</v>
      </c>
      <c r="U399">
        <v>2</v>
      </c>
      <c r="V399">
        <v>2</v>
      </c>
      <c r="W399" t="s">
        <v>55</v>
      </c>
      <c r="X399" t="s">
        <v>70</v>
      </c>
      <c r="Y399" t="s">
        <v>37</v>
      </c>
      <c r="Z399">
        <v>28</v>
      </c>
      <c r="AA399" t="s">
        <v>1110</v>
      </c>
      <c r="AB399" t="str">
        <f t="shared" si="60"/>
        <v>Other</v>
      </c>
      <c r="AC399" t="s">
        <v>237</v>
      </c>
      <c r="AD399" t="str">
        <f t="shared" si="61"/>
        <v>Bachelors</v>
      </c>
      <c r="AE399" t="s">
        <v>91</v>
      </c>
      <c r="AF399" t="str">
        <f t="shared" si="62"/>
        <v>Hispanic or Latino</v>
      </c>
    </row>
    <row r="400" spans="1:32" x14ac:dyDescent="0.45">
      <c r="A400" t="s">
        <v>1226</v>
      </c>
      <c r="B400" t="s">
        <v>25</v>
      </c>
      <c r="C400" s="3" t="s">
        <v>1099</v>
      </c>
      <c r="D400" s="3">
        <f t="shared" si="54"/>
        <v>44871</v>
      </c>
      <c r="E400" t="s">
        <v>303</v>
      </c>
      <c r="F400" s="4">
        <f t="shared" si="55"/>
        <v>0.38680555555555557</v>
      </c>
      <c r="G400" t="s">
        <v>646</v>
      </c>
      <c r="H400" t="s">
        <v>123</v>
      </c>
      <c r="I400" t="str">
        <f t="shared" si="56"/>
        <v>None</v>
      </c>
      <c r="J400" t="s">
        <v>43</v>
      </c>
      <c r="K400" t="s">
        <v>53</v>
      </c>
      <c r="L400">
        <f t="shared" si="57"/>
        <v>20</v>
      </c>
      <c r="M400" t="s">
        <v>103</v>
      </c>
      <c r="N400" t="str">
        <f t="shared" si="58"/>
        <v>Tech</v>
      </c>
      <c r="O400" t="s">
        <v>34</v>
      </c>
      <c r="P400" t="str">
        <f t="shared" si="59"/>
        <v>Python</v>
      </c>
      <c r="Q400">
        <v>0</v>
      </c>
      <c r="R400">
        <v>2</v>
      </c>
      <c r="S400">
        <v>3</v>
      </c>
      <c r="T400">
        <v>3</v>
      </c>
      <c r="U400">
        <v>2</v>
      </c>
      <c r="V400">
        <v>3</v>
      </c>
      <c r="W400" t="s">
        <v>55</v>
      </c>
      <c r="X400" t="s">
        <v>56</v>
      </c>
      <c r="Y400" t="s">
        <v>65</v>
      </c>
      <c r="Z400">
        <v>24</v>
      </c>
      <c r="AA400" t="s">
        <v>57</v>
      </c>
      <c r="AB400" t="str">
        <f t="shared" si="60"/>
        <v>Other</v>
      </c>
      <c r="AC400" t="s">
        <v>237</v>
      </c>
      <c r="AD400" t="str">
        <f t="shared" si="61"/>
        <v>Bachelors</v>
      </c>
      <c r="AE400" t="s">
        <v>58</v>
      </c>
      <c r="AF400" t="str">
        <f t="shared" si="62"/>
        <v>Black or African American</v>
      </c>
    </row>
    <row r="401" spans="1:32" x14ac:dyDescent="0.45">
      <c r="A401" t="s">
        <v>1227</v>
      </c>
      <c r="B401" t="s">
        <v>25</v>
      </c>
      <c r="C401" s="3" t="s">
        <v>1099</v>
      </c>
      <c r="D401" s="3">
        <f t="shared" si="54"/>
        <v>44871</v>
      </c>
      <c r="E401" t="s">
        <v>411</v>
      </c>
      <c r="F401" s="4">
        <f t="shared" si="55"/>
        <v>0.40277777777777779</v>
      </c>
      <c r="G401" t="s">
        <v>1228</v>
      </c>
      <c r="H401" t="s">
        <v>30</v>
      </c>
      <c r="I401" t="str">
        <f t="shared" si="56"/>
        <v>Data Analyst</v>
      </c>
      <c r="J401" t="s">
        <v>31</v>
      </c>
      <c r="K401" t="s">
        <v>44</v>
      </c>
      <c r="L401">
        <f t="shared" si="57"/>
        <v>53</v>
      </c>
      <c r="M401" t="s">
        <v>103</v>
      </c>
      <c r="N401" t="str">
        <f t="shared" si="58"/>
        <v>Tech</v>
      </c>
      <c r="O401" t="s">
        <v>34</v>
      </c>
      <c r="P401" t="str">
        <f t="shared" si="59"/>
        <v>Python</v>
      </c>
      <c r="Q401">
        <v>8</v>
      </c>
      <c r="R401">
        <v>10</v>
      </c>
      <c r="S401">
        <v>7</v>
      </c>
      <c r="T401">
        <v>5</v>
      </c>
      <c r="U401">
        <v>6</v>
      </c>
      <c r="V401">
        <v>5</v>
      </c>
      <c r="W401" t="s">
        <v>85</v>
      </c>
      <c r="X401" t="s">
        <v>114</v>
      </c>
      <c r="Y401" t="s">
        <v>65</v>
      </c>
      <c r="Z401">
        <v>34</v>
      </c>
      <c r="AA401" t="s">
        <v>38</v>
      </c>
      <c r="AB401" t="str">
        <f t="shared" si="60"/>
        <v>United States</v>
      </c>
      <c r="AC401" t="s">
        <v>237</v>
      </c>
      <c r="AD401" t="str">
        <f t="shared" si="61"/>
        <v>Bachelors</v>
      </c>
      <c r="AE401" t="s">
        <v>39</v>
      </c>
      <c r="AF401" t="str">
        <f t="shared" si="62"/>
        <v>White or Caucasian</v>
      </c>
    </row>
    <row r="402" spans="1:32" x14ac:dyDescent="0.45">
      <c r="A402" t="s">
        <v>1229</v>
      </c>
      <c r="B402" t="s">
        <v>25</v>
      </c>
      <c r="C402" s="3" t="s">
        <v>1099</v>
      </c>
      <c r="D402" s="3">
        <f t="shared" si="54"/>
        <v>44871</v>
      </c>
      <c r="E402" t="s">
        <v>1230</v>
      </c>
      <c r="F402" s="4">
        <f t="shared" si="55"/>
        <v>0.41111111111111109</v>
      </c>
      <c r="G402" t="s">
        <v>196</v>
      </c>
      <c r="H402" t="s">
        <v>30</v>
      </c>
      <c r="I402" t="str">
        <f t="shared" si="56"/>
        <v>Data Analyst</v>
      </c>
      <c r="J402" t="s">
        <v>31</v>
      </c>
      <c r="K402" t="s">
        <v>44</v>
      </c>
      <c r="L402">
        <f t="shared" si="57"/>
        <v>53</v>
      </c>
      <c r="M402" t="s">
        <v>103</v>
      </c>
      <c r="N402" t="str">
        <f t="shared" si="58"/>
        <v>Tech</v>
      </c>
      <c r="O402" t="s">
        <v>34</v>
      </c>
      <c r="P402" t="str">
        <f t="shared" si="59"/>
        <v>Python</v>
      </c>
      <c r="Q402">
        <v>3</v>
      </c>
      <c r="R402">
        <v>5</v>
      </c>
      <c r="S402">
        <v>4</v>
      </c>
      <c r="T402">
        <v>5</v>
      </c>
      <c r="U402">
        <v>3</v>
      </c>
      <c r="V402">
        <v>6</v>
      </c>
      <c r="W402" t="s">
        <v>85</v>
      </c>
      <c r="X402" t="s">
        <v>56</v>
      </c>
      <c r="Y402" t="s">
        <v>65</v>
      </c>
      <c r="Z402">
        <v>31</v>
      </c>
      <c r="AA402" t="s">
        <v>267</v>
      </c>
      <c r="AB402" t="str">
        <f t="shared" si="60"/>
        <v>Other</v>
      </c>
      <c r="AC402" t="s">
        <v>240</v>
      </c>
      <c r="AD402" t="str">
        <f t="shared" si="61"/>
        <v>Masters</v>
      </c>
      <c r="AE402" t="s">
        <v>39</v>
      </c>
      <c r="AF402" t="str">
        <f t="shared" si="62"/>
        <v>White or Caucasian</v>
      </c>
    </row>
    <row r="403" spans="1:32" x14ac:dyDescent="0.45">
      <c r="A403" t="s">
        <v>1231</v>
      </c>
      <c r="B403" t="s">
        <v>25</v>
      </c>
      <c r="C403" s="3" t="s">
        <v>1099</v>
      </c>
      <c r="D403" s="3">
        <f t="shared" si="54"/>
        <v>44871</v>
      </c>
      <c r="E403" t="s">
        <v>1232</v>
      </c>
      <c r="F403" s="4">
        <f t="shared" si="55"/>
        <v>0.41180555555555554</v>
      </c>
      <c r="G403" t="s">
        <v>119</v>
      </c>
      <c r="H403" t="s">
        <v>30</v>
      </c>
      <c r="I403" t="str">
        <f t="shared" si="56"/>
        <v>Data Analyst</v>
      </c>
      <c r="J403" t="s">
        <v>31</v>
      </c>
      <c r="K403" t="s">
        <v>53</v>
      </c>
      <c r="L403">
        <f t="shared" si="57"/>
        <v>20</v>
      </c>
      <c r="M403" t="s">
        <v>103</v>
      </c>
      <c r="N403" t="str">
        <f t="shared" si="58"/>
        <v>Tech</v>
      </c>
      <c r="O403" t="s">
        <v>34</v>
      </c>
      <c r="P403" t="str">
        <f t="shared" si="59"/>
        <v>Python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69</v>
      </c>
      <c r="X403" t="s">
        <v>56</v>
      </c>
      <c r="Y403" t="s">
        <v>37</v>
      </c>
      <c r="Z403">
        <v>30</v>
      </c>
      <c r="AA403" t="s">
        <v>109</v>
      </c>
      <c r="AB403" t="str">
        <f t="shared" si="60"/>
        <v>United Kingdom</v>
      </c>
      <c r="AC403" t="s">
        <v>240</v>
      </c>
      <c r="AD403" t="str">
        <f t="shared" si="61"/>
        <v>Masters</v>
      </c>
      <c r="AE403" t="s">
        <v>48</v>
      </c>
      <c r="AF403" t="str">
        <f t="shared" si="62"/>
        <v>Asian or Asian American</v>
      </c>
    </row>
    <row r="404" spans="1:32" x14ac:dyDescent="0.45">
      <c r="A404" t="s">
        <v>1233</v>
      </c>
      <c r="B404" t="s">
        <v>25</v>
      </c>
      <c r="C404" s="3" t="s">
        <v>1099</v>
      </c>
      <c r="D404" s="3">
        <f t="shared" si="54"/>
        <v>44871</v>
      </c>
      <c r="E404" t="s">
        <v>1232</v>
      </c>
      <c r="F404" s="4">
        <f t="shared" si="55"/>
        <v>0.41180555555555554</v>
      </c>
      <c r="G404" t="s">
        <v>297</v>
      </c>
      <c r="H404" t="s">
        <v>52</v>
      </c>
      <c r="I404" t="str">
        <f t="shared" si="56"/>
        <v>Data Engineer</v>
      </c>
      <c r="J404" t="s">
        <v>31</v>
      </c>
      <c r="K404" t="s">
        <v>87</v>
      </c>
      <c r="L404">
        <f t="shared" si="57"/>
        <v>95.5</v>
      </c>
      <c r="M404" t="s">
        <v>95</v>
      </c>
      <c r="N404" t="str">
        <f t="shared" si="58"/>
        <v>Other</v>
      </c>
      <c r="O404" t="s">
        <v>204</v>
      </c>
      <c r="P404" t="str">
        <f t="shared" si="59"/>
        <v>JavaScript</v>
      </c>
      <c r="Q404">
        <v>4</v>
      </c>
      <c r="R404">
        <v>4</v>
      </c>
      <c r="S404">
        <v>1</v>
      </c>
      <c r="T404">
        <v>6</v>
      </c>
      <c r="U404">
        <v>1</v>
      </c>
      <c r="V404">
        <v>5</v>
      </c>
      <c r="W404" t="s">
        <v>69</v>
      </c>
      <c r="X404" t="s">
        <v>70</v>
      </c>
      <c r="Y404" t="s">
        <v>37</v>
      </c>
      <c r="Z404">
        <v>40</v>
      </c>
      <c r="AA404" t="s">
        <v>109</v>
      </c>
      <c r="AB404" t="str">
        <f t="shared" si="60"/>
        <v>United Kingdom</v>
      </c>
      <c r="AC404" t="s">
        <v>237</v>
      </c>
      <c r="AD404" t="str">
        <f t="shared" si="61"/>
        <v>Bachelors</v>
      </c>
      <c r="AE404" t="s">
        <v>39</v>
      </c>
      <c r="AF404" t="str">
        <f t="shared" si="62"/>
        <v>White or Caucasian</v>
      </c>
    </row>
    <row r="405" spans="1:32" x14ac:dyDescent="0.45">
      <c r="A405" t="s">
        <v>1234</v>
      </c>
      <c r="B405" t="s">
        <v>25</v>
      </c>
      <c r="C405" s="3" t="s">
        <v>1099</v>
      </c>
      <c r="D405" s="3">
        <f t="shared" si="54"/>
        <v>44871</v>
      </c>
      <c r="E405" t="s">
        <v>1235</v>
      </c>
      <c r="F405" s="4">
        <f t="shared" si="55"/>
        <v>0.41666666666666669</v>
      </c>
      <c r="G405" t="s">
        <v>371</v>
      </c>
      <c r="H405" t="s">
        <v>30</v>
      </c>
      <c r="I405" t="str">
        <f t="shared" si="56"/>
        <v>Data Analyst</v>
      </c>
      <c r="J405" t="s">
        <v>43</v>
      </c>
      <c r="K405" t="s">
        <v>44</v>
      </c>
      <c r="L405">
        <f t="shared" si="57"/>
        <v>53</v>
      </c>
      <c r="M405" t="s">
        <v>393</v>
      </c>
      <c r="N405" t="str">
        <f t="shared" si="58"/>
        <v>Other</v>
      </c>
      <c r="O405" t="s">
        <v>46</v>
      </c>
      <c r="P405" t="str">
        <f t="shared" si="59"/>
        <v>R</v>
      </c>
      <c r="Q405">
        <v>4</v>
      </c>
      <c r="R405">
        <v>10</v>
      </c>
      <c r="S405">
        <v>10</v>
      </c>
      <c r="T405">
        <v>10</v>
      </c>
      <c r="U405">
        <v>8</v>
      </c>
      <c r="V405">
        <v>6</v>
      </c>
      <c r="W405" t="s">
        <v>35</v>
      </c>
      <c r="X405" t="s">
        <v>70</v>
      </c>
      <c r="Y405" t="s">
        <v>37</v>
      </c>
      <c r="Z405">
        <v>26</v>
      </c>
      <c r="AA405" t="s">
        <v>38</v>
      </c>
      <c r="AB405" t="str">
        <f t="shared" si="60"/>
        <v>United States</v>
      </c>
      <c r="AC405" t="s">
        <v>237</v>
      </c>
      <c r="AD405" t="str">
        <f t="shared" si="61"/>
        <v>Bachelors</v>
      </c>
      <c r="AE405" t="s">
        <v>91</v>
      </c>
      <c r="AF405" t="str">
        <f t="shared" si="62"/>
        <v>Hispanic or Latino</v>
      </c>
    </row>
    <row r="406" spans="1:32" x14ac:dyDescent="0.45">
      <c r="A406" t="s">
        <v>1236</v>
      </c>
      <c r="B406" t="s">
        <v>25</v>
      </c>
      <c r="C406" s="3" t="s">
        <v>1099</v>
      </c>
      <c r="D406" s="3">
        <f t="shared" si="54"/>
        <v>44871</v>
      </c>
      <c r="E406" t="s">
        <v>506</v>
      </c>
      <c r="F406" s="4">
        <f t="shared" si="55"/>
        <v>0.42777777777777776</v>
      </c>
      <c r="G406" t="s">
        <v>1237</v>
      </c>
      <c r="H406" t="s">
        <v>30</v>
      </c>
      <c r="I406" t="str">
        <f t="shared" si="56"/>
        <v>Data Analyst</v>
      </c>
      <c r="J406" t="s">
        <v>43</v>
      </c>
      <c r="K406" t="s">
        <v>82</v>
      </c>
      <c r="L406">
        <f t="shared" si="57"/>
        <v>137.5</v>
      </c>
      <c r="M406" t="s">
        <v>33</v>
      </c>
      <c r="N406" t="str">
        <f t="shared" si="58"/>
        <v>Healthcare</v>
      </c>
      <c r="O406" t="s">
        <v>46</v>
      </c>
      <c r="P406" t="str">
        <f t="shared" si="59"/>
        <v>R</v>
      </c>
      <c r="Q406">
        <v>9</v>
      </c>
      <c r="R406">
        <v>9</v>
      </c>
      <c r="S406">
        <v>6</v>
      </c>
      <c r="T406">
        <v>6</v>
      </c>
      <c r="U406">
        <v>6</v>
      </c>
      <c r="V406">
        <v>7</v>
      </c>
      <c r="W406" t="s">
        <v>85</v>
      </c>
      <c r="X406" t="s">
        <v>114</v>
      </c>
      <c r="Y406" t="s">
        <v>37</v>
      </c>
      <c r="Z406">
        <v>25</v>
      </c>
      <c r="AA406" t="s">
        <v>38</v>
      </c>
      <c r="AB406" t="str">
        <f t="shared" si="60"/>
        <v>United States</v>
      </c>
      <c r="AC406" t="s">
        <v>237</v>
      </c>
      <c r="AD406" t="str">
        <f t="shared" si="61"/>
        <v>Bachelors</v>
      </c>
      <c r="AE406" t="s">
        <v>39</v>
      </c>
      <c r="AF406" t="str">
        <f t="shared" si="62"/>
        <v>White or Caucasian</v>
      </c>
    </row>
    <row r="407" spans="1:32" x14ac:dyDescent="0.45">
      <c r="A407" t="s">
        <v>1238</v>
      </c>
      <c r="B407" t="s">
        <v>25</v>
      </c>
      <c r="C407" s="3" t="s">
        <v>1099</v>
      </c>
      <c r="D407" s="3">
        <f t="shared" si="54"/>
        <v>44871</v>
      </c>
      <c r="E407" t="s">
        <v>1239</v>
      </c>
      <c r="F407" s="4">
        <f t="shared" si="55"/>
        <v>0.44305555555555554</v>
      </c>
      <c r="G407" t="s">
        <v>813</v>
      </c>
      <c r="H407" t="s">
        <v>30</v>
      </c>
      <c r="I407" t="str">
        <f t="shared" si="56"/>
        <v>Data Analyst</v>
      </c>
      <c r="J407" t="s">
        <v>31</v>
      </c>
      <c r="K407" t="s">
        <v>53</v>
      </c>
      <c r="L407">
        <f t="shared" si="57"/>
        <v>20</v>
      </c>
      <c r="M407" t="s">
        <v>1240</v>
      </c>
      <c r="N407" t="str">
        <f t="shared" si="58"/>
        <v>Other</v>
      </c>
      <c r="O407" t="s">
        <v>318</v>
      </c>
      <c r="P407" t="str">
        <f t="shared" si="59"/>
        <v>Other</v>
      </c>
      <c r="Q407" t="s">
        <v>28</v>
      </c>
      <c r="R407">
        <v>5</v>
      </c>
      <c r="S407">
        <v>8</v>
      </c>
      <c r="T407">
        <v>4</v>
      </c>
      <c r="U407">
        <v>8</v>
      </c>
      <c r="V407">
        <v>4</v>
      </c>
      <c r="W407" t="s">
        <v>55</v>
      </c>
      <c r="X407" t="s">
        <v>114</v>
      </c>
      <c r="Y407" t="s">
        <v>37</v>
      </c>
      <c r="Z407">
        <v>45</v>
      </c>
      <c r="AA407" t="s">
        <v>183</v>
      </c>
      <c r="AB407" t="str">
        <f t="shared" si="60"/>
        <v>Other</v>
      </c>
      <c r="AC407" t="s">
        <v>262</v>
      </c>
      <c r="AD407" t="str">
        <f t="shared" si="61"/>
        <v>Associates</v>
      </c>
      <c r="AE407" t="s">
        <v>39</v>
      </c>
      <c r="AF407" t="str">
        <f t="shared" si="62"/>
        <v>White or Caucasian</v>
      </c>
    </row>
    <row r="408" spans="1:32" x14ac:dyDescent="0.45">
      <c r="A408" t="s">
        <v>1241</v>
      </c>
      <c r="B408" t="s">
        <v>25</v>
      </c>
      <c r="C408" s="3" t="s">
        <v>1099</v>
      </c>
      <c r="D408" s="3">
        <f t="shared" si="54"/>
        <v>44871</v>
      </c>
      <c r="E408" t="s">
        <v>570</v>
      </c>
      <c r="F408" s="4">
        <f t="shared" si="55"/>
        <v>0.4513888888888889</v>
      </c>
      <c r="G408" t="s">
        <v>1242</v>
      </c>
      <c r="H408" t="s">
        <v>30</v>
      </c>
      <c r="I408" t="str">
        <f t="shared" si="56"/>
        <v>Data Analyst</v>
      </c>
      <c r="J408" t="s">
        <v>43</v>
      </c>
      <c r="K408" t="s">
        <v>44</v>
      </c>
      <c r="L408">
        <f t="shared" si="57"/>
        <v>53</v>
      </c>
      <c r="M408" t="s">
        <v>45</v>
      </c>
      <c r="N408" t="str">
        <f t="shared" si="58"/>
        <v>Finance</v>
      </c>
      <c r="O408" t="s">
        <v>46</v>
      </c>
      <c r="P408" t="str">
        <f t="shared" si="59"/>
        <v>R</v>
      </c>
      <c r="Q408">
        <v>7</v>
      </c>
      <c r="R408">
        <v>9</v>
      </c>
      <c r="S408">
        <v>8</v>
      </c>
      <c r="T408">
        <v>6</v>
      </c>
      <c r="U408">
        <v>6</v>
      </c>
      <c r="V408">
        <v>9</v>
      </c>
      <c r="W408" t="s">
        <v>85</v>
      </c>
      <c r="X408" t="s">
        <v>114</v>
      </c>
      <c r="Y408" t="s">
        <v>37</v>
      </c>
      <c r="Z408">
        <v>26</v>
      </c>
      <c r="AA408" t="s">
        <v>38</v>
      </c>
      <c r="AB408" t="str">
        <f t="shared" si="60"/>
        <v>United States</v>
      </c>
      <c r="AC408" t="s">
        <v>240</v>
      </c>
      <c r="AD408" t="str">
        <f t="shared" si="61"/>
        <v>Masters</v>
      </c>
      <c r="AE408" t="s">
        <v>58</v>
      </c>
      <c r="AF408" t="str">
        <f t="shared" si="62"/>
        <v>Black or African American</v>
      </c>
    </row>
    <row r="409" spans="1:32" x14ac:dyDescent="0.45">
      <c r="A409" t="s">
        <v>1243</v>
      </c>
      <c r="B409" t="s">
        <v>25</v>
      </c>
      <c r="C409" s="3" t="s">
        <v>1099</v>
      </c>
      <c r="D409" s="3">
        <f t="shared" si="54"/>
        <v>44871</v>
      </c>
      <c r="E409" t="s">
        <v>1244</v>
      </c>
      <c r="F409" s="4">
        <f t="shared" si="55"/>
        <v>0.46388888888888891</v>
      </c>
      <c r="G409" t="s">
        <v>822</v>
      </c>
      <c r="H409" t="s">
        <v>77</v>
      </c>
      <c r="I409" t="str">
        <f t="shared" si="56"/>
        <v>Data Scientist</v>
      </c>
      <c r="J409" t="s">
        <v>43</v>
      </c>
      <c r="K409" t="s">
        <v>53</v>
      </c>
      <c r="L409">
        <f t="shared" si="57"/>
        <v>20</v>
      </c>
      <c r="M409" t="s">
        <v>45</v>
      </c>
      <c r="N409" t="str">
        <f t="shared" si="58"/>
        <v>Finance</v>
      </c>
      <c r="O409" t="s">
        <v>34</v>
      </c>
      <c r="P409" t="str">
        <f t="shared" si="59"/>
        <v>Python</v>
      </c>
      <c r="Q409">
        <v>7</v>
      </c>
      <c r="R409">
        <v>7</v>
      </c>
      <c r="S409">
        <v>8</v>
      </c>
      <c r="T409">
        <v>6</v>
      </c>
      <c r="U409">
        <v>6</v>
      </c>
      <c r="V409">
        <v>4</v>
      </c>
      <c r="W409" t="s">
        <v>85</v>
      </c>
      <c r="X409" t="s">
        <v>56</v>
      </c>
      <c r="Y409" t="s">
        <v>37</v>
      </c>
      <c r="Z409">
        <v>26</v>
      </c>
      <c r="AA409" t="s">
        <v>147</v>
      </c>
      <c r="AB409" t="str">
        <f t="shared" si="60"/>
        <v>India</v>
      </c>
      <c r="AC409" t="s">
        <v>240</v>
      </c>
      <c r="AD409" t="str">
        <f t="shared" si="61"/>
        <v>Masters</v>
      </c>
      <c r="AE409" t="s">
        <v>200</v>
      </c>
      <c r="AF409" t="str">
        <f t="shared" si="62"/>
        <v>Other</v>
      </c>
    </row>
    <row r="410" spans="1:32" x14ac:dyDescent="0.45">
      <c r="A410" t="s">
        <v>1245</v>
      </c>
      <c r="B410" t="s">
        <v>25</v>
      </c>
      <c r="C410" s="3" t="s">
        <v>1099</v>
      </c>
      <c r="D410" s="3">
        <f t="shared" si="54"/>
        <v>44871</v>
      </c>
      <c r="E410" t="s">
        <v>598</v>
      </c>
      <c r="F410" s="4">
        <f t="shared" si="55"/>
        <v>0.46597222222222223</v>
      </c>
      <c r="G410" t="s">
        <v>1246</v>
      </c>
      <c r="H410" t="s">
        <v>1247</v>
      </c>
      <c r="I410" t="str">
        <f t="shared" si="56"/>
        <v>Other</v>
      </c>
      <c r="J410" t="s">
        <v>31</v>
      </c>
      <c r="K410" t="s">
        <v>53</v>
      </c>
      <c r="L410">
        <f t="shared" si="57"/>
        <v>20</v>
      </c>
      <c r="M410" t="s">
        <v>45</v>
      </c>
      <c r="N410" t="str">
        <f t="shared" si="58"/>
        <v>Finance</v>
      </c>
      <c r="O410" t="s">
        <v>34</v>
      </c>
      <c r="P410" t="str">
        <f t="shared" si="59"/>
        <v>Python</v>
      </c>
      <c r="Q410">
        <v>3</v>
      </c>
      <c r="R410">
        <v>2</v>
      </c>
      <c r="S410">
        <v>4</v>
      </c>
      <c r="T410">
        <v>2</v>
      </c>
      <c r="U410">
        <v>2</v>
      </c>
      <c r="V410">
        <v>3</v>
      </c>
      <c r="W410" t="s">
        <v>69</v>
      </c>
      <c r="X410" t="s">
        <v>70</v>
      </c>
      <c r="Y410" t="s">
        <v>37</v>
      </c>
      <c r="Z410">
        <v>23</v>
      </c>
      <c r="AA410" t="s">
        <v>147</v>
      </c>
      <c r="AB410" t="str">
        <f t="shared" si="60"/>
        <v>India</v>
      </c>
      <c r="AC410" t="s">
        <v>240</v>
      </c>
      <c r="AD410" t="str">
        <f t="shared" si="61"/>
        <v>Masters</v>
      </c>
      <c r="AE410" t="s">
        <v>48</v>
      </c>
      <c r="AF410" t="str">
        <f t="shared" si="62"/>
        <v>Asian or Asian American</v>
      </c>
    </row>
    <row r="411" spans="1:32" x14ac:dyDescent="0.45">
      <c r="A411" t="s">
        <v>1248</v>
      </c>
      <c r="B411" t="s">
        <v>25</v>
      </c>
      <c r="C411" s="3" t="s">
        <v>1099</v>
      </c>
      <c r="D411" s="3">
        <f t="shared" si="54"/>
        <v>44871</v>
      </c>
      <c r="E411" t="s">
        <v>609</v>
      </c>
      <c r="F411" s="4">
        <f t="shared" si="55"/>
        <v>0.47083333333333333</v>
      </c>
      <c r="G411" t="s">
        <v>189</v>
      </c>
      <c r="H411" t="s">
        <v>52</v>
      </c>
      <c r="I411" t="str">
        <f t="shared" si="56"/>
        <v>Data Engineer</v>
      </c>
      <c r="J411" t="s">
        <v>31</v>
      </c>
      <c r="K411" t="s">
        <v>32</v>
      </c>
      <c r="L411">
        <f t="shared" si="57"/>
        <v>115.5</v>
      </c>
      <c r="M411" t="s">
        <v>103</v>
      </c>
      <c r="N411" t="str">
        <f t="shared" si="58"/>
        <v>Tech</v>
      </c>
      <c r="O411" t="s">
        <v>34</v>
      </c>
      <c r="P411" t="str">
        <f t="shared" si="59"/>
        <v>Python</v>
      </c>
      <c r="Q411">
        <v>4</v>
      </c>
      <c r="R411">
        <v>4</v>
      </c>
      <c r="S411">
        <v>4</v>
      </c>
      <c r="T411">
        <v>4</v>
      </c>
      <c r="U411">
        <v>5</v>
      </c>
      <c r="V411">
        <v>6</v>
      </c>
      <c r="W411" t="s">
        <v>85</v>
      </c>
      <c r="X411" t="s">
        <v>56</v>
      </c>
      <c r="Y411" t="s">
        <v>37</v>
      </c>
      <c r="Z411">
        <v>25</v>
      </c>
      <c r="AA411" t="s">
        <v>147</v>
      </c>
      <c r="AB411" t="str">
        <f t="shared" si="60"/>
        <v>India</v>
      </c>
      <c r="AC411" t="s">
        <v>240</v>
      </c>
      <c r="AD411" t="str">
        <f t="shared" si="61"/>
        <v>Masters</v>
      </c>
      <c r="AE411" t="s">
        <v>48</v>
      </c>
      <c r="AF411" t="str">
        <f t="shared" si="62"/>
        <v>Asian or Asian American</v>
      </c>
    </row>
    <row r="412" spans="1:32" x14ac:dyDescent="0.45">
      <c r="A412" t="s">
        <v>1249</v>
      </c>
      <c r="B412" t="s">
        <v>25</v>
      </c>
      <c r="C412" s="3" t="s">
        <v>1099</v>
      </c>
      <c r="D412" s="3">
        <f t="shared" si="54"/>
        <v>44871</v>
      </c>
      <c r="E412" t="s">
        <v>1250</v>
      </c>
      <c r="F412" s="4">
        <f t="shared" si="55"/>
        <v>0.47152777777777777</v>
      </c>
      <c r="G412" t="s">
        <v>215</v>
      </c>
      <c r="H412" t="s">
        <v>30</v>
      </c>
      <c r="I412" t="str">
        <f t="shared" si="56"/>
        <v>Data Analyst</v>
      </c>
      <c r="J412" t="s">
        <v>31</v>
      </c>
      <c r="K412" t="s">
        <v>44</v>
      </c>
      <c r="L412">
        <f t="shared" si="57"/>
        <v>53</v>
      </c>
      <c r="M412" t="s">
        <v>33</v>
      </c>
      <c r="N412" t="str">
        <f t="shared" si="58"/>
        <v>Healthcare</v>
      </c>
      <c r="O412" t="s">
        <v>46</v>
      </c>
      <c r="P412" t="str">
        <f t="shared" si="59"/>
        <v>R</v>
      </c>
      <c r="Q412">
        <v>4</v>
      </c>
      <c r="R412">
        <v>5</v>
      </c>
      <c r="S412">
        <v>6</v>
      </c>
      <c r="T412">
        <v>6</v>
      </c>
      <c r="U412">
        <v>5</v>
      </c>
      <c r="V412">
        <v>6</v>
      </c>
      <c r="W412" t="s">
        <v>85</v>
      </c>
      <c r="X412" t="s">
        <v>70</v>
      </c>
      <c r="Y412" t="s">
        <v>65</v>
      </c>
      <c r="Z412">
        <v>33</v>
      </c>
      <c r="AA412" t="s">
        <v>38</v>
      </c>
      <c r="AB412" t="str">
        <f t="shared" si="60"/>
        <v>United States</v>
      </c>
      <c r="AC412" t="s">
        <v>227</v>
      </c>
      <c r="AD412" t="str">
        <f t="shared" si="61"/>
        <v>High School</v>
      </c>
      <c r="AE412" t="s">
        <v>39</v>
      </c>
      <c r="AF412" t="str">
        <f t="shared" si="62"/>
        <v>White or Caucasian</v>
      </c>
    </row>
    <row r="413" spans="1:32" x14ac:dyDescent="0.45">
      <c r="A413" t="s">
        <v>1251</v>
      </c>
      <c r="B413" t="s">
        <v>25</v>
      </c>
      <c r="C413" s="3" t="s">
        <v>1099</v>
      </c>
      <c r="D413" s="3">
        <f t="shared" si="54"/>
        <v>44871</v>
      </c>
      <c r="E413" t="s">
        <v>1252</v>
      </c>
      <c r="F413" s="4">
        <f t="shared" si="55"/>
        <v>0.47291666666666665</v>
      </c>
      <c r="G413" t="s">
        <v>371</v>
      </c>
      <c r="H413" t="s">
        <v>1253</v>
      </c>
      <c r="I413" t="str">
        <f t="shared" si="56"/>
        <v>Other</v>
      </c>
      <c r="J413" t="s">
        <v>43</v>
      </c>
      <c r="K413" t="s">
        <v>53</v>
      </c>
      <c r="L413">
        <f t="shared" si="57"/>
        <v>20</v>
      </c>
      <c r="M413" t="s">
        <v>1254</v>
      </c>
      <c r="N413" t="str">
        <f t="shared" si="58"/>
        <v>Other</v>
      </c>
      <c r="O413" t="s">
        <v>318</v>
      </c>
      <c r="P413" t="str">
        <f t="shared" si="59"/>
        <v>Other</v>
      </c>
      <c r="Q413">
        <v>6</v>
      </c>
      <c r="R413">
        <v>3</v>
      </c>
      <c r="S413">
        <v>3</v>
      </c>
      <c r="T413">
        <v>6</v>
      </c>
      <c r="U413">
        <v>6</v>
      </c>
      <c r="V413">
        <v>4</v>
      </c>
      <c r="W413" t="s">
        <v>64</v>
      </c>
      <c r="X413" t="s">
        <v>1255</v>
      </c>
      <c r="Y413" t="s">
        <v>37</v>
      </c>
      <c r="Z413">
        <v>33</v>
      </c>
      <c r="AA413" t="s">
        <v>147</v>
      </c>
      <c r="AB413" t="str">
        <f t="shared" si="60"/>
        <v>India</v>
      </c>
      <c r="AC413" t="s">
        <v>237</v>
      </c>
      <c r="AD413" t="str">
        <f t="shared" si="61"/>
        <v>Bachelors</v>
      </c>
      <c r="AE413" t="s">
        <v>48</v>
      </c>
      <c r="AF413" t="str">
        <f t="shared" si="62"/>
        <v>Asian or Asian American</v>
      </c>
    </row>
    <row r="414" spans="1:32" x14ac:dyDescent="0.45">
      <c r="A414" t="s">
        <v>1256</v>
      </c>
      <c r="B414" t="s">
        <v>25</v>
      </c>
      <c r="C414" s="3" t="s">
        <v>1099</v>
      </c>
      <c r="D414" s="3">
        <f t="shared" si="54"/>
        <v>44871</v>
      </c>
      <c r="E414" t="s">
        <v>1257</v>
      </c>
      <c r="F414" s="4">
        <f t="shared" si="55"/>
        <v>0.48402777777777778</v>
      </c>
      <c r="G414" t="s">
        <v>479</v>
      </c>
      <c r="H414" t="s">
        <v>30</v>
      </c>
      <c r="I414" t="str">
        <f t="shared" si="56"/>
        <v>Data Analyst</v>
      </c>
      <c r="J414" t="s">
        <v>31</v>
      </c>
      <c r="K414" t="s">
        <v>87</v>
      </c>
      <c r="L414">
        <f t="shared" si="57"/>
        <v>95.5</v>
      </c>
      <c r="M414" t="s">
        <v>33</v>
      </c>
      <c r="N414" t="str">
        <f t="shared" si="58"/>
        <v>Healthcare</v>
      </c>
      <c r="O414" t="s">
        <v>46</v>
      </c>
      <c r="P414" t="str">
        <f t="shared" si="59"/>
        <v>R</v>
      </c>
      <c r="Q414">
        <v>7</v>
      </c>
      <c r="R414">
        <v>8</v>
      </c>
      <c r="S414">
        <v>7</v>
      </c>
      <c r="T414">
        <v>8</v>
      </c>
      <c r="U414">
        <v>3</v>
      </c>
      <c r="V414">
        <v>4</v>
      </c>
      <c r="W414" t="s">
        <v>55</v>
      </c>
      <c r="X414" t="s">
        <v>114</v>
      </c>
      <c r="Y414" t="s">
        <v>37</v>
      </c>
      <c r="Z414">
        <v>27</v>
      </c>
      <c r="AA414" t="s">
        <v>38</v>
      </c>
      <c r="AB414" t="str">
        <f t="shared" si="60"/>
        <v>United States</v>
      </c>
      <c r="AC414" t="s">
        <v>237</v>
      </c>
      <c r="AD414" t="str">
        <f t="shared" si="61"/>
        <v>Bachelors</v>
      </c>
      <c r="AE414" t="s">
        <v>39</v>
      </c>
      <c r="AF414" t="str">
        <f t="shared" si="62"/>
        <v>White or Caucasian</v>
      </c>
    </row>
    <row r="415" spans="1:32" x14ac:dyDescent="0.45">
      <c r="A415" t="s">
        <v>1258</v>
      </c>
      <c r="B415" t="s">
        <v>25</v>
      </c>
      <c r="C415" s="3" t="s">
        <v>1099</v>
      </c>
      <c r="D415" s="3">
        <f t="shared" si="54"/>
        <v>44871</v>
      </c>
      <c r="E415" t="s">
        <v>1259</v>
      </c>
      <c r="F415" s="4">
        <f t="shared" si="55"/>
        <v>0.5083333333333333</v>
      </c>
      <c r="G415" t="s">
        <v>234</v>
      </c>
      <c r="H415" t="s">
        <v>30</v>
      </c>
      <c r="I415" t="str">
        <f t="shared" si="56"/>
        <v>Data Analyst</v>
      </c>
      <c r="J415" t="s">
        <v>31</v>
      </c>
      <c r="K415" t="s">
        <v>32</v>
      </c>
      <c r="L415">
        <f t="shared" si="57"/>
        <v>115.5</v>
      </c>
      <c r="M415" t="s">
        <v>103</v>
      </c>
      <c r="N415" t="str">
        <f t="shared" si="58"/>
        <v>Tech</v>
      </c>
      <c r="O415" t="s">
        <v>34</v>
      </c>
      <c r="P415" t="str">
        <f t="shared" si="59"/>
        <v>Python</v>
      </c>
      <c r="Q415">
        <v>9</v>
      </c>
      <c r="R415">
        <v>9</v>
      </c>
      <c r="S415">
        <v>9</v>
      </c>
      <c r="T415">
        <v>8</v>
      </c>
      <c r="U415">
        <v>8</v>
      </c>
      <c r="V415">
        <v>9</v>
      </c>
      <c r="W415" t="s">
        <v>69</v>
      </c>
      <c r="X415" t="s">
        <v>36</v>
      </c>
      <c r="Y415" t="s">
        <v>65</v>
      </c>
      <c r="Z415">
        <v>28</v>
      </c>
      <c r="AA415" t="s">
        <v>38</v>
      </c>
      <c r="AB415" t="str">
        <f t="shared" si="60"/>
        <v>United States</v>
      </c>
      <c r="AC415" t="s">
        <v>240</v>
      </c>
      <c r="AD415" t="str">
        <f t="shared" si="61"/>
        <v>Masters</v>
      </c>
      <c r="AE415" t="s">
        <v>91</v>
      </c>
      <c r="AF415" t="str">
        <f t="shared" si="62"/>
        <v>Hispanic or Latino</v>
      </c>
    </row>
    <row r="416" spans="1:32" x14ac:dyDescent="0.45">
      <c r="A416" t="s">
        <v>1260</v>
      </c>
      <c r="B416" t="s">
        <v>25</v>
      </c>
      <c r="C416" s="3" t="s">
        <v>1099</v>
      </c>
      <c r="D416" s="3">
        <f t="shared" si="54"/>
        <v>44871</v>
      </c>
      <c r="E416" t="s">
        <v>1261</v>
      </c>
      <c r="F416" s="4">
        <f t="shared" si="55"/>
        <v>0.50902777777777775</v>
      </c>
      <c r="G416" t="s">
        <v>402</v>
      </c>
      <c r="H416" t="s">
        <v>30</v>
      </c>
      <c r="I416" t="str">
        <f t="shared" si="56"/>
        <v>Data Analyst</v>
      </c>
      <c r="J416" t="s">
        <v>31</v>
      </c>
      <c r="K416" t="s">
        <v>94</v>
      </c>
      <c r="L416">
        <f t="shared" si="57"/>
        <v>75.5</v>
      </c>
      <c r="M416" t="s">
        <v>103</v>
      </c>
      <c r="N416" t="str">
        <f t="shared" si="58"/>
        <v>Tech</v>
      </c>
      <c r="O416" t="s">
        <v>34</v>
      </c>
      <c r="P416" t="str">
        <f t="shared" si="59"/>
        <v>Python</v>
      </c>
      <c r="Q416">
        <v>5</v>
      </c>
      <c r="R416">
        <v>6</v>
      </c>
      <c r="S416">
        <v>7</v>
      </c>
      <c r="T416">
        <v>6</v>
      </c>
      <c r="U416">
        <v>6</v>
      </c>
      <c r="V416">
        <v>7</v>
      </c>
      <c r="W416" t="s">
        <v>64</v>
      </c>
      <c r="X416" t="s">
        <v>70</v>
      </c>
      <c r="Y416" t="s">
        <v>37</v>
      </c>
      <c r="Z416">
        <v>32</v>
      </c>
      <c r="AA416" t="s">
        <v>38</v>
      </c>
      <c r="AB416" t="str">
        <f t="shared" si="60"/>
        <v>United States</v>
      </c>
      <c r="AC416" t="s">
        <v>237</v>
      </c>
      <c r="AD416" t="str">
        <f t="shared" si="61"/>
        <v>Bachelors</v>
      </c>
      <c r="AE416" t="s">
        <v>91</v>
      </c>
      <c r="AF416" t="str">
        <f t="shared" si="62"/>
        <v>Hispanic or Latino</v>
      </c>
    </row>
    <row r="417" spans="1:32" x14ac:dyDescent="0.45">
      <c r="A417" t="s">
        <v>1262</v>
      </c>
      <c r="B417" t="s">
        <v>25</v>
      </c>
      <c r="C417" s="3" t="s">
        <v>1099</v>
      </c>
      <c r="D417" s="3">
        <f t="shared" si="54"/>
        <v>44871</v>
      </c>
      <c r="E417" t="s">
        <v>1263</v>
      </c>
      <c r="F417" s="4">
        <f t="shared" si="55"/>
        <v>0.52500000000000002</v>
      </c>
      <c r="G417" t="s">
        <v>112</v>
      </c>
      <c r="H417" t="s">
        <v>30</v>
      </c>
      <c r="I417" t="str">
        <f t="shared" si="56"/>
        <v>Data Analyst</v>
      </c>
      <c r="J417" t="s">
        <v>31</v>
      </c>
      <c r="K417" t="s">
        <v>53</v>
      </c>
      <c r="L417">
        <f t="shared" si="57"/>
        <v>20</v>
      </c>
      <c r="M417" t="s">
        <v>103</v>
      </c>
      <c r="N417" t="str">
        <f t="shared" si="58"/>
        <v>Tech</v>
      </c>
      <c r="O417" t="s">
        <v>34</v>
      </c>
      <c r="P417" t="str">
        <f t="shared" si="59"/>
        <v>Python</v>
      </c>
      <c r="Q417">
        <v>2</v>
      </c>
      <c r="R417">
        <v>6</v>
      </c>
      <c r="S417">
        <v>3</v>
      </c>
      <c r="T417">
        <v>6</v>
      </c>
      <c r="U417">
        <v>6</v>
      </c>
      <c r="V417">
        <v>7</v>
      </c>
      <c r="W417" t="s">
        <v>85</v>
      </c>
      <c r="X417" t="s">
        <v>70</v>
      </c>
      <c r="Y417" t="s">
        <v>37</v>
      </c>
      <c r="Z417">
        <v>35</v>
      </c>
      <c r="AA417" t="s">
        <v>147</v>
      </c>
      <c r="AB417" t="str">
        <f t="shared" si="60"/>
        <v>India</v>
      </c>
      <c r="AC417" t="s">
        <v>240</v>
      </c>
      <c r="AD417" t="str">
        <f t="shared" si="61"/>
        <v>Masters</v>
      </c>
      <c r="AE417" t="s">
        <v>48</v>
      </c>
      <c r="AF417" t="str">
        <f t="shared" si="62"/>
        <v>Asian or Asian American</v>
      </c>
    </row>
    <row r="418" spans="1:32" x14ac:dyDescent="0.45">
      <c r="A418" t="s">
        <v>1264</v>
      </c>
      <c r="B418" t="s">
        <v>25</v>
      </c>
      <c r="C418" s="3" t="s">
        <v>1099</v>
      </c>
      <c r="D418" s="3">
        <f t="shared" si="54"/>
        <v>44871</v>
      </c>
      <c r="E418" t="s">
        <v>716</v>
      </c>
      <c r="F418" s="4">
        <f t="shared" si="55"/>
        <v>0.52777777777777779</v>
      </c>
      <c r="G418" t="s">
        <v>881</v>
      </c>
      <c r="H418" t="s">
        <v>30</v>
      </c>
      <c r="I418" t="str">
        <f t="shared" si="56"/>
        <v>Data Analyst</v>
      </c>
      <c r="J418" t="s">
        <v>31</v>
      </c>
      <c r="K418" t="s">
        <v>87</v>
      </c>
      <c r="L418">
        <f t="shared" si="57"/>
        <v>95.5</v>
      </c>
      <c r="M418" t="s">
        <v>712</v>
      </c>
      <c r="N418" t="str">
        <f t="shared" si="58"/>
        <v>Real Estate</v>
      </c>
      <c r="O418" t="s">
        <v>34</v>
      </c>
      <c r="P418" t="str">
        <f t="shared" si="59"/>
        <v>Python</v>
      </c>
      <c r="Q418">
        <v>8</v>
      </c>
      <c r="R418">
        <v>9</v>
      </c>
      <c r="S418">
        <v>10</v>
      </c>
      <c r="T418">
        <v>10</v>
      </c>
      <c r="U418">
        <v>9</v>
      </c>
      <c r="V418">
        <v>10</v>
      </c>
      <c r="W418" t="s">
        <v>85</v>
      </c>
      <c r="X418" t="s">
        <v>114</v>
      </c>
      <c r="Y418" t="s">
        <v>37</v>
      </c>
      <c r="Z418">
        <v>34</v>
      </c>
      <c r="AA418" t="s">
        <v>38</v>
      </c>
      <c r="AB418" t="str">
        <f t="shared" si="60"/>
        <v>United States</v>
      </c>
      <c r="AC418" t="s">
        <v>240</v>
      </c>
      <c r="AD418" t="str">
        <f t="shared" si="61"/>
        <v>Masters</v>
      </c>
      <c r="AE418" t="s">
        <v>91</v>
      </c>
      <c r="AF418" t="str">
        <f t="shared" si="62"/>
        <v>Hispanic or Latino</v>
      </c>
    </row>
    <row r="419" spans="1:32" x14ac:dyDescent="0.45">
      <c r="A419" t="s">
        <v>1265</v>
      </c>
      <c r="B419" t="s">
        <v>25</v>
      </c>
      <c r="C419" s="3" t="s">
        <v>1099</v>
      </c>
      <c r="D419" s="3">
        <f t="shared" si="54"/>
        <v>44871</v>
      </c>
      <c r="E419" t="s">
        <v>1266</v>
      </c>
      <c r="F419" s="4">
        <f t="shared" si="55"/>
        <v>0.52916666666666667</v>
      </c>
      <c r="G419" t="s">
        <v>504</v>
      </c>
      <c r="H419" t="s">
        <v>30</v>
      </c>
      <c r="I419" t="str">
        <f t="shared" si="56"/>
        <v>Data Analyst</v>
      </c>
      <c r="J419" t="s">
        <v>43</v>
      </c>
      <c r="K419" t="s">
        <v>44</v>
      </c>
      <c r="L419">
        <f t="shared" si="57"/>
        <v>53</v>
      </c>
      <c r="M419" t="s">
        <v>1267</v>
      </c>
      <c r="N419" t="str">
        <f t="shared" si="58"/>
        <v>Other</v>
      </c>
      <c r="O419" t="s">
        <v>34</v>
      </c>
      <c r="P419" t="str">
        <f t="shared" si="59"/>
        <v>Python</v>
      </c>
      <c r="Q419">
        <v>9</v>
      </c>
      <c r="R419">
        <v>8</v>
      </c>
      <c r="S419">
        <v>3</v>
      </c>
      <c r="T419">
        <v>5</v>
      </c>
      <c r="U419">
        <v>2</v>
      </c>
      <c r="V419">
        <v>4</v>
      </c>
      <c r="W419" t="s">
        <v>55</v>
      </c>
      <c r="X419" t="s">
        <v>70</v>
      </c>
      <c r="Y419" t="s">
        <v>37</v>
      </c>
      <c r="Z419">
        <v>27</v>
      </c>
      <c r="AA419" t="s">
        <v>267</v>
      </c>
      <c r="AB419" t="str">
        <f t="shared" si="60"/>
        <v>Other</v>
      </c>
      <c r="AC419" t="s">
        <v>240</v>
      </c>
      <c r="AD419" t="str">
        <f t="shared" si="61"/>
        <v>Masters</v>
      </c>
      <c r="AE419" t="s">
        <v>39</v>
      </c>
      <c r="AF419" t="str">
        <f t="shared" si="62"/>
        <v>White or Caucasian</v>
      </c>
    </row>
    <row r="420" spans="1:32" x14ac:dyDescent="0.45">
      <c r="A420" t="s">
        <v>1268</v>
      </c>
      <c r="B420" t="s">
        <v>25</v>
      </c>
      <c r="C420" s="3" t="s">
        <v>1099</v>
      </c>
      <c r="D420" s="3">
        <f t="shared" si="54"/>
        <v>44871</v>
      </c>
      <c r="E420" t="s">
        <v>1269</v>
      </c>
      <c r="F420" s="4">
        <f t="shared" si="55"/>
        <v>0.53472222222222221</v>
      </c>
      <c r="G420" t="s">
        <v>1195</v>
      </c>
      <c r="H420" t="s">
        <v>1270</v>
      </c>
      <c r="I420" t="str">
        <f t="shared" si="56"/>
        <v>Other</v>
      </c>
      <c r="J420" t="s">
        <v>31</v>
      </c>
      <c r="K420" t="s">
        <v>94</v>
      </c>
      <c r="L420">
        <f t="shared" si="57"/>
        <v>75.5</v>
      </c>
      <c r="M420" t="s">
        <v>108</v>
      </c>
      <c r="N420" t="str">
        <f t="shared" si="58"/>
        <v>Education</v>
      </c>
      <c r="O420" t="s">
        <v>46</v>
      </c>
      <c r="P420" t="str">
        <f t="shared" si="59"/>
        <v>R</v>
      </c>
      <c r="Q420">
        <v>4</v>
      </c>
      <c r="R420">
        <v>5</v>
      </c>
      <c r="S420">
        <v>5</v>
      </c>
      <c r="T420">
        <v>3</v>
      </c>
      <c r="U420">
        <v>3</v>
      </c>
      <c r="V420">
        <v>4</v>
      </c>
      <c r="W420" t="s">
        <v>55</v>
      </c>
      <c r="X420" t="s">
        <v>114</v>
      </c>
      <c r="Y420" t="s">
        <v>65</v>
      </c>
      <c r="Z420">
        <v>30</v>
      </c>
      <c r="AA420" t="s">
        <v>38</v>
      </c>
      <c r="AB420" t="str">
        <f t="shared" si="60"/>
        <v>United States</v>
      </c>
      <c r="AC420" t="s">
        <v>240</v>
      </c>
      <c r="AD420" t="str">
        <f t="shared" si="61"/>
        <v>Masters</v>
      </c>
      <c r="AE420" t="s">
        <v>39</v>
      </c>
      <c r="AF420" t="str">
        <f t="shared" si="62"/>
        <v>White or Caucasian</v>
      </c>
    </row>
    <row r="421" spans="1:32" x14ac:dyDescent="0.45">
      <c r="A421" t="s">
        <v>1271</v>
      </c>
      <c r="B421" t="s">
        <v>25</v>
      </c>
      <c r="C421" s="3" t="s">
        <v>1099</v>
      </c>
      <c r="D421" s="3">
        <f t="shared" si="54"/>
        <v>44871</v>
      </c>
      <c r="E421" t="s">
        <v>754</v>
      </c>
      <c r="F421" s="4">
        <f t="shared" si="55"/>
        <v>0.55277777777777781</v>
      </c>
      <c r="G421" t="s">
        <v>1225</v>
      </c>
      <c r="H421" t="s">
        <v>30</v>
      </c>
      <c r="I421" t="str">
        <f t="shared" si="56"/>
        <v>Data Analyst</v>
      </c>
      <c r="J421" t="s">
        <v>43</v>
      </c>
      <c r="K421" t="s">
        <v>94</v>
      </c>
      <c r="L421">
        <f t="shared" si="57"/>
        <v>75.5</v>
      </c>
      <c r="M421" t="s">
        <v>1272</v>
      </c>
      <c r="N421" t="str">
        <f t="shared" si="58"/>
        <v>Other</v>
      </c>
      <c r="O421" t="s">
        <v>34</v>
      </c>
      <c r="P421" t="str">
        <f t="shared" si="59"/>
        <v>Python</v>
      </c>
      <c r="Q421">
        <v>8</v>
      </c>
      <c r="R421">
        <v>9</v>
      </c>
      <c r="S421">
        <v>9</v>
      </c>
      <c r="T421">
        <v>9</v>
      </c>
      <c r="U421">
        <v>9</v>
      </c>
      <c r="V421">
        <v>10</v>
      </c>
      <c r="W421" t="s">
        <v>85</v>
      </c>
      <c r="X421" t="s">
        <v>70</v>
      </c>
      <c r="Y421" t="s">
        <v>37</v>
      </c>
      <c r="Z421">
        <v>34</v>
      </c>
      <c r="AA421" t="s">
        <v>38</v>
      </c>
      <c r="AB421" t="str">
        <f t="shared" si="60"/>
        <v>United States</v>
      </c>
      <c r="AC421" t="s">
        <v>240</v>
      </c>
      <c r="AD421" t="str">
        <f t="shared" si="61"/>
        <v>Masters</v>
      </c>
      <c r="AE421" t="s">
        <v>39</v>
      </c>
      <c r="AF421" t="str">
        <f t="shared" si="62"/>
        <v>White or Caucasian</v>
      </c>
    </row>
    <row r="422" spans="1:32" x14ac:dyDescent="0.45">
      <c r="A422" t="s">
        <v>1273</v>
      </c>
      <c r="B422" t="s">
        <v>25</v>
      </c>
      <c r="C422" s="3" t="s">
        <v>1099</v>
      </c>
      <c r="D422" s="3">
        <f t="shared" si="54"/>
        <v>44871</v>
      </c>
      <c r="E422" t="s">
        <v>1274</v>
      </c>
      <c r="F422" s="4">
        <f t="shared" si="55"/>
        <v>0.55347222222222225</v>
      </c>
      <c r="G422" t="s">
        <v>1104</v>
      </c>
      <c r="H422" t="s">
        <v>1275</v>
      </c>
      <c r="I422" t="str">
        <f t="shared" si="56"/>
        <v>Other</v>
      </c>
      <c r="J422" t="s">
        <v>43</v>
      </c>
      <c r="K422" t="s">
        <v>44</v>
      </c>
      <c r="L422">
        <f t="shared" si="57"/>
        <v>53</v>
      </c>
      <c r="M422" t="s">
        <v>892</v>
      </c>
      <c r="N422" t="str">
        <f t="shared" si="58"/>
        <v>Other</v>
      </c>
      <c r="O422" t="s">
        <v>34</v>
      </c>
      <c r="P422" t="str">
        <f t="shared" si="59"/>
        <v>Python</v>
      </c>
      <c r="Q422">
        <v>3</v>
      </c>
      <c r="R422">
        <v>10</v>
      </c>
      <c r="S422">
        <v>6</v>
      </c>
      <c r="T422">
        <v>5</v>
      </c>
      <c r="U422">
        <v>7</v>
      </c>
      <c r="V422">
        <v>8</v>
      </c>
      <c r="W422" t="s">
        <v>85</v>
      </c>
      <c r="X422" t="s">
        <v>36</v>
      </c>
      <c r="Y422" t="s">
        <v>65</v>
      </c>
      <c r="Z422">
        <v>22</v>
      </c>
      <c r="AA422" t="s">
        <v>38</v>
      </c>
      <c r="AB422" t="str">
        <f t="shared" si="60"/>
        <v>United States</v>
      </c>
      <c r="AC422" t="s">
        <v>237</v>
      </c>
      <c r="AD422" t="str">
        <f t="shared" si="61"/>
        <v>Bachelors</v>
      </c>
      <c r="AE422" t="s">
        <v>39</v>
      </c>
      <c r="AF422" t="str">
        <f t="shared" si="62"/>
        <v>White or Caucasian</v>
      </c>
    </row>
    <row r="423" spans="1:32" x14ac:dyDescent="0.45">
      <c r="A423" t="s">
        <v>1276</v>
      </c>
      <c r="B423" t="s">
        <v>25</v>
      </c>
      <c r="C423" s="3" t="s">
        <v>1099</v>
      </c>
      <c r="D423" s="3">
        <f t="shared" si="54"/>
        <v>44871</v>
      </c>
      <c r="E423" t="s">
        <v>1277</v>
      </c>
      <c r="F423" s="4">
        <f t="shared" si="55"/>
        <v>0.55902777777777779</v>
      </c>
      <c r="G423" t="s">
        <v>963</v>
      </c>
      <c r="H423" t="s">
        <v>30</v>
      </c>
      <c r="I423" t="str">
        <f t="shared" si="56"/>
        <v>Data Analyst</v>
      </c>
      <c r="J423" t="s">
        <v>31</v>
      </c>
      <c r="K423" t="s">
        <v>53</v>
      </c>
      <c r="L423">
        <f t="shared" si="57"/>
        <v>20</v>
      </c>
      <c r="M423" t="s">
        <v>45</v>
      </c>
      <c r="N423" t="str">
        <f t="shared" si="58"/>
        <v>Finance</v>
      </c>
      <c r="O423" t="s">
        <v>34</v>
      </c>
      <c r="P423" t="str">
        <f t="shared" si="59"/>
        <v>Python</v>
      </c>
      <c r="Q423">
        <v>2</v>
      </c>
      <c r="R423">
        <v>2</v>
      </c>
      <c r="S423">
        <v>5</v>
      </c>
      <c r="T423">
        <v>5</v>
      </c>
      <c r="U423">
        <v>2</v>
      </c>
      <c r="V423">
        <v>3</v>
      </c>
      <c r="W423" t="s">
        <v>35</v>
      </c>
      <c r="X423" t="s">
        <v>56</v>
      </c>
      <c r="Y423" t="s">
        <v>65</v>
      </c>
      <c r="Z423">
        <v>33</v>
      </c>
      <c r="AA423" t="s">
        <v>147</v>
      </c>
      <c r="AB423" t="str">
        <f t="shared" si="60"/>
        <v>India</v>
      </c>
      <c r="AC423" t="s">
        <v>240</v>
      </c>
      <c r="AD423" t="str">
        <f t="shared" si="61"/>
        <v>Masters</v>
      </c>
      <c r="AE423" t="s">
        <v>48</v>
      </c>
      <c r="AF423" t="str">
        <f t="shared" si="62"/>
        <v>Asian or Asian American</v>
      </c>
    </row>
    <row r="424" spans="1:32" x14ac:dyDescent="0.45">
      <c r="A424" t="s">
        <v>1278</v>
      </c>
      <c r="B424" t="s">
        <v>25</v>
      </c>
      <c r="C424" s="3" t="s">
        <v>1099</v>
      </c>
      <c r="D424" s="3">
        <f t="shared" si="54"/>
        <v>44871</v>
      </c>
      <c r="E424" t="s">
        <v>1279</v>
      </c>
      <c r="F424" s="4">
        <f t="shared" si="55"/>
        <v>0.56041666666666667</v>
      </c>
      <c r="G424" t="s">
        <v>1209</v>
      </c>
      <c r="H424" t="s">
        <v>30</v>
      </c>
      <c r="I424" t="str">
        <f t="shared" si="56"/>
        <v>Data Analyst</v>
      </c>
      <c r="J424" t="s">
        <v>43</v>
      </c>
      <c r="K424" t="s">
        <v>53</v>
      </c>
      <c r="L424">
        <f t="shared" si="57"/>
        <v>20</v>
      </c>
      <c r="M424" t="s">
        <v>45</v>
      </c>
      <c r="N424" t="str">
        <f t="shared" si="58"/>
        <v>Finance</v>
      </c>
      <c r="O424" t="s">
        <v>34</v>
      </c>
      <c r="P424" t="str">
        <f t="shared" si="59"/>
        <v>Python</v>
      </c>
      <c r="Q424">
        <v>8</v>
      </c>
      <c r="R424">
        <v>9</v>
      </c>
      <c r="S424">
        <v>9</v>
      </c>
      <c r="T424">
        <v>9</v>
      </c>
      <c r="U424">
        <v>9</v>
      </c>
      <c r="V424">
        <v>9</v>
      </c>
      <c r="W424" t="s">
        <v>85</v>
      </c>
      <c r="X424" t="s">
        <v>70</v>
      </c>
      <c r="Y424" t="s">
        <v>65</v>
      </c>
      <c r="Z424">
        <v>26</v>
      </c>
      <c r="AA424" t="s">
        <v>147</v>
      </c>
      <c r="AB424" t="str">
        <f t="shared" si="60"/>
        <v>India</v>
      </c>
      <c r="AC424" t="s">
        <v>240</v>
      </c>
      <c r="AD424" t="str">
        <f t="shared" si="61"/>
        <v>Masters</v>
      </c>
      <c r="AE424" t="s">
        <v>48</v>
      </c>
      <c r="AF424" t="str">
        <f t="shared" si="62"/>
        <v>Asian or Asian American</v>
      </c>
    </row>
    <row r="425" spans="1:32" x14ac:dyDescent="0.45">
      <c r="A425" t="s">
        <v>1280</v>
      </c>
      <c r="B425" t="s">
        <v>25</v>
      </c>
      <c r="C425" s="3" t="s">
        <v>1099</v>
      </c>
      <c r="D425" s="3">
        <f t="shared" si="54"/>
        <v>44871</v>
      </c>
      <c r="E425" t="s">
        <v>1281</v>
      </c>
      <c r="F425" s="4">
        <f t="shared" si="55"/>
        <v>0.5625</v>
      </c>
      <c r="G425" t="s">
        <v>336</v>
      </c>
      <c r="H425" t="s">
        <v>52</v>
      </c>
      <c r="I425" t="str">
        <f t="shared" si="56"/>
        <v>Data Engineer</v>
      </c>
      <c r="J425" t="s">
        <v>31</v>
      </c>
      <c r="K425" t="s">
        <v>53</v>
      </c>
      <c r="L425">
        <f t="shared" si="57"/>
        <v>20</v>
      </c>
      <c r="M425" t="s">
        <v>103</v>
      </c>
      <c r="N425" t="str">
        <f t="shared" si="58"/>
        <v>Tech</v>
      </c>
      <c r="O425" t="s">
        <v>34</v>
      </c>
      <c r="P425" t="str">
        <f t="shared" si="59"/>
        <v>Python</v>
      </c>
      <c r="Q425">
        <v>0</v>
      </c>
      <c r="R425">
        <v>5</v>
      </c>
      <c r="S425">
        <v>8</v>
      </c>
      <c r="T425">
        <v>6</v>
      </c>
      <c r="U425">
        <v>5</v>
      </c>
      <c r="V425">
        <v>7</v>
      </c>
      <c r="W425" t="s">
        <v>85</v>
      </c>
      <c r="X425" t="s">
        <v>70</v>
      </c>
      <c r="Y425" t="s">
        <v>37</v>
      </c>
      <c r="Z425">
        <v>28</v>
      </c>
      <c r="AA425" t="s">
        <v>104</v>
      </c>
      <c r="AB425" t="str">
        <f t="shared" si="60"/>
        <v>Other</v>
      </c>
      <c r="AC425" t="s">
        <v>237</v>
      </c>
      <c r="AD425" t="str">
        <f t="shared" si="61"/>
        <v>Bachelors</v>
      </c>
      <c r="AE425" t="s">
        <v>91</v>
      </c>
      <c r="AF425" t="str">
        <f t="shared" si="62"/>
        <v>Hispanic or Latino</v>
      </c>
    </row>
    <row r="426" spans="1:32" x14ac:dyDescent="0.45">
      <c r="A426" t="s">
        <v>1282</v>
      </c>
      <c r="B426" t="s">
        <v>25</v>
      </c>
      <c r="C426" s="3" t="s">
        <v>1099</v>
      </c>
      <c r="D426" s="3">
        <f t="shared" si="54"/>
        <v>44871</v>
      </c>
      <c r="E426" t="s">
        <v>784</v>
      </c>
      <c r="F426" s="4">
        <f t="shared" si="55"/>
        <v>0.5805555555555556</v>
      </c>
      <c r="G426" t="s">
        <v>1283</v>
      </c>
      <c r="H426" t="s">
        <v>1284</v>
      </c>
      <c r="I426" t="str">
        <f t="shared" si="56"/>
        <v>Other</v>
      </c>
      <c r="J426" t="s">
        <v>43</v>
      </c>
      <c r="K426" t="s">
        <v>53</v>
      </c>
      <c r="L426">
        <f t="shared" si="57"/>
        <v>20</v>
      </c>
      <c r="M426" t="s">
        <v>1285</v>
      </c>
      <c r="N426" t="str">
        <f t="shared" si="58"/>
        <v>Other</v>
      </c>
      <c r="O426" t="s">
        <v>34</v>
      </c>
      <c r="P426" t="str">
        <f t="shared" si="59"/>
        <v>Python</v>
      </c>
      <c r="Q426">
        <v>2</v>
      </c>
      <c r="R426">
        <v>2</v>
      </c>
      <c r="S426">
        <v>7</v>
      </c>
      <c r="T426">
        <v>4</v>
      </c>
      <c r="U426">
        <v>8</v>
      </c>
      <c r="V426">
        <v>1</v>
      </c>
      <c r="W426" t="s">
        <v>69</v>
      </c>
      <c r="X426" t="s">
        <v>36</v>
      </c>
      <c r="Y426" t="s">
        <v>37</v>
      </c>
      <c r="Z426">
        <v>42</v>
      </c>
      <c r="AA426" t="s">
        <v>109</v>
      </c>
      <c r="AB426" t="str">
        <f t="shared" si="60"/>
        <v>United Kingdom</v>
      </c>
      <c r="AC426" t="s">
        <v>237</v>
      </c>
      <c r="AD426" t="str">
        <f t="shared" si="61"/>
        <v>Bachelors</v>
      </c>
      <c r="AE426" t="s">
        <v>1286</v>
      </c>
      <c r="AF426" t="str">
        <f t="shared" si="62"/>
        <v>Other</v>
      </c>
    </row>
    <row r="427" spans="1:32" x14ac:dyDescent="0.45">
      <c r="A427" t="s">
        <v>1287</v>
      </c>
      <c r="B427" t="s">
        <v>25</v>
      </c>
      <c r="C427" s="3" t="s">
        <v>1099</v>
      </c>
      <c r="D427" s="3">
        <f t="shared" si="54"/>
        <v>44871</v>
      </c>
      <c r="E427" t="s">
        <v>1288</v>
      </c>
      <c r="F427" s="4">
        <f t="shared" si="55"/>
        <v>0.58263888888888893</v>
      </c>
      <c r="G427" t="s">
        <v>1225</v>
      </c>
      <c r="H427" t="s">
        <v>30</v>
      </c>
      <c r="I427" t="str">
        <f t="shared" si="56"/>
        <v>Data Analyst</v>
      </c>
      <c r="J427" t="s">
        <v>43</v>
      </c>
      <c r="K427" t="s">
        <v>53</v>
      </c>
      <c r="L427">
        <f t="shared" si="57"/>
        <v>20</v>
      </c>
      <c r="M427" t="s">
        <v>1289</v>
      </c>
      <c r="N427" t="str">
        <f t="shared" si="58"/>
        <v>Other</v>
      </c>
      <c r="O427" t="s">
        <v>46</v>
      </c>
      <c r="P427" t="str">
        <f t="shared" si="59"/>
        <v>R</v>
      </c>
      <c r="Q427">
        <v>4</v>
      </c>
      <c r="R427">
        <v>10</v>
      </c>
      <c r="S427">
        <v>2</v>
      </c>
      <c r="T427">
        <v>3</v>
      </c>
      <c r="U427">
        <v>2</v>
      </c>
      <c r="V427">
        <v>3</v>
      </c>
      <c r="W427" t="s">
        <v>85</v>
      </c>
      <c r="X427" t="s">
        <v>70</v>
      </c>
      <c r="Y427" t="s">
        <v>37</v>
      </c>
      <c r="Z427">
        <v>30</v>
      </c>
      <c r="AA427" t="s">
        <v>886</v>
      </c>
      <c r="AB427" t="str">
        <f t="shared" si="60"/>
        <v>Other</v>
      </c>
      <c r="AC427" t="s">
        <v>240</v>
      </c>
      <c r="AD427" t="str">
        <f t="shared" si="61"/>
        <v>Masters</v>
      </c>
      <c r="AE427" t="s">
        <v>1290</v>
      </c>
      <c r="AF427" t="str">
        <f t="shared" si="62"/>
        <v>Other</v>
      </c>
    </row>
    <row r="428" spans="1:32" x14ac:dyDescent="0.45">
      <c r="A428" t="s">
        <v>1291</v>
      </c>
      <c r="B428" t="s">
        <v>25</v>
      </c>
      <c r="C428" s="3" t="s">
        <v>1099</v>
      </c>
      <c r="D428" s="3">
        <f t="shared" si="54"/>
        <v>44871</v>
      </c>
      <c r="E428" t="s">
        <v>1292</v>
      </c>
      <c r="F428" s="4">
        <f t="shared" si="55"/>
        <v>0.58819444444444446</v>
      </c>
      <c r="G428" t="s">
        <v>344</v>
      </c>
      <c r="H428" t="s">
        <v>77</v>
      </c>
      <c r="I428" t="str">
        <f t="shared" si="56"/>
        <v>Data Scientist</v>
      </c>
      <c r="J428" t="s">
        <v>31</v>
      </c>
      <c r="K428" t="s">
        <v>32</v>
      </c>
      <c r="L428">
        <f t="shared" si="57"/>
        <v>115.5</v>
      </c>
      <c r="M428" t="s">
        <v>103</v>
      </c>
      <c r="N428" t="str">
        <f t="shared" si="58"/>
        <v>Tech</v>
      </c>
      <c r="O428" t="s">
        <v>318</v>
      </c>
      <c r="P428" t="str">
        <f t="shared" si="59"/>
        <v>Other</v>
      </c>
      <c r="Q428">
        <v>10</v>
      </c>
      <c r="R428">
        <v>9</v>
      </c>
      <c r="S428">
        <v>8</v>
      </c>
      <c r="T428">
        <v>8</v>
      </c>
      <c r="U428">
        <v>9</v>
      </c>
      <c r="V428">
        <v>10</v>
      </c>
      <c r="W428" t="s">
        <v>69</v>
      </c>
      <c r="X428" t="s">
        <v>70</v>
      </c>
      <c r="Y428" t="s">
        <v>37</v>
      </c>
      <c r="Z428">
        <v>25</v>
      </c>
      <c r="AA428" t="s">
        <v>38</v>
      </c>
      <c r="AB428" t="str">
        <f t="shared" si="60"/>
        <v>United States</v>
      </c>
      <c r="AC428" t="s">
        <v>262</v>
      </c>
      <c r="AD428" t="str">
        <f t="shared" si="61"/>
        <v>Associates</v>
      </c>
      <c r="AE428" t="s">
        <v>39</v>
      </c>
      <c r="AF428" t="str">
        <f t="shared" si="62"/>
        <v>White or Caucasian</v>
      </c>
    </row>
    <row r="429" spans="1:32" x14ac:dyDescent="0.45">
      <c r="A429" t="s">
        <v>1293</v>
      </c>
      <c r="B429" t="s">
        <v>25</v>
      </c>
      <c r="C429" s="3" t="s">
        <v>1099</v>
      </c>
      <c r="D429" s="3">
        <f t="shared" si="54"/>
        <v>44871</v>
      </c>
      <c r="E429" t="s">
        <v>1294</v>
      </c>
      <c r="F429" s="4">
        <f t="shared" si="55"/>
        <v>0.59861111111111109</v>
      </c>
      <c r="G429" t="s">
        <v>1237</v>
      </c>
      <c r="H429" t="s">
        <v>30</v>
      </c>
      <c r="I429" t="str">
        <f t="shared" si="56"/>
        <v>Data Analyst</v>
      </c>
      <c r="J429" t="s">
        <v>31</v>
      </c>
      <c r="K429" t="s">
        <v>44</v>
      </c>
      <c r="L429">
        <f t="shared" si="57"/>
        <v>53</v>
      </c>
      <c r="M429" t="s">
        <v>113</v>
      </c>
      <c r="N429" t="str">
        <f t="shared" si="58"/>
        <v>Construction</v>
      </c>
      <c r="O429" t="s">
        <v>34</v>
      </c>
      <c r="P429" t="str">
        <f t="shared" si="59"/>
        <v>Python</v>
      </c>
      <c r="Q429">
        <v>4</v>
      </c>
      <c r="R429">
        <v>6</v>
      </c>
      <c r="S429">
        <v>6</v>
      </c>
      <c r="T429">
        <v>6</v>
      </c>
      <c r="U429">
        <v>5</v>
      </c>
      <c r="V429">
        <v>7</v>
      </c>
      <c r="W429" t="s">
        <v>55</v>
      </c>
      <c r="X429" t="s">
        <v>70</v>
      </c>
      <c r="Y429" t="s">
        <v>37</v>
      </c>
      <c r="Z429">
        <v>32</v>
      </c>
      <c r="AA429" t="s">
        <v>38</v>
      </c>
      <c r="AB429" t="str">
        <f t="shared" si="60"/>
        <v>United States</v>
      </c>
      <c r="AC429" t="s">
        <v>237</v>
      </c>
      <c r="AD429" t="str">
        <f t="shared" si="61"/>
        <v>Bachelors</v>
      </c>
      <c r="AE429" t="s">
        <v>58</v>
      </c>
      <c r="AF429" t="str">
        <f t="shared" si="62"/>
        <v>Black or African American</v>
      </c>
    </row>
    <row r="430" spans="1:32" x14ac:dyDescent="0.45">
      <c r="A430" t="s">
        <v>1295</v>
      </c>
      <c r="B430" t="s">
        <v>25</v>
      </c>
      <c r="C430" s="3" t="s">
        <v>1099</v>
      </c>
      <c r="D430" s="3">
        <f t="shared" si="54"/>
        <v>44871</v>
      </c>
      <c r="E430" t="s">
        <v>850</v>
      </c>
      <c r="F430" s="4">
        <f t="shared" si="55"/>
        <v>0.61597222222222225</v>
      </c>
      <c r="G430" t="s">
        <v>389</v>
      </c>
      <c r="H430" t="s">
        <v>30</v>
      </c>
      <c r="I430" t="str">
        <f t="shared" si="56"/>
        <v>Data Analyst</v>
      </c>
      <c r="J430" t="s">
        <v>43</v>
      </c>
      <c r="K430" t="s">
        <v>53</v>
      </c>
      <c r="L430">
        <f t="shared" si="57"/>
        <v>20</v>
      </c>
      <c r="M430" t="s">
        <v>103</v>
      </c>
      <c r="N430" t="str">
        <f t="shared" si="58"/>
        <v>Tech</v>
      </c>
      <c r="O430" t="s">
        <v>34</v>
      </c>
      <c r="P430" t="str">
        <f t="shared" si="59"/>
        <v>Python</v>
      </c>
      <c r="Q430">
        <v>3</v>
      </c>
      <c r="R430">
        <v>4</v>
      </c>
      <c r="S430">
        <v>5</v>
      </c>
      <c r="T430">
        <v>5</v>
      </c>
      <c r="U430">
        <v>6</v>
      </c>
      <c r="V430">
        <v>6</v>
      </c>
      <c r="W430" t="s">
        <v>85</v>
      </c>
      <c r="X430" t="s">
        <v>70</v>
      </c>
      <c r="Y430" t="s">
        <v>37</v>
      </c>
      <c r="Z430">
        <v>31</v>
      </c>
      <c r="AA430" t="s">
        <v>267</v>
      </c>
      <c r="AB430" t="str">
        <f t="shared" si="60"/>
        <v>Other</v>
      </c>
      <c r="AC430" t="s">
        <v>240</v>
      </c>
      <c r="AD430" t="str">
        <f t="shared" si="61"/>
        <v>Masters</v>
      </c>
      <c r="AE430" t="s">
        <v>48</v>
      </c>
      <c r="AF430" t="str">
        <f t="shared" si="62"/>
        <v>Asian or Asian American</v>
      </c>
    </row>
    <row r="431" spans="1:32" x14ac:dyDescent="0.45">
      <c r="A431" t="s">
        <v>1296</v>
      </c>
      <c r="B431" t="s">
        <v>25</v>
      </c>
      <c r="C431" s="3" t="s">
        <v>1099</v>
      </c>
      <c r="D431" s="3">
        <f t="shared" si="54"/>
        <v>44871</v>
      </c>
      <c r="E431" t="s">
        <v>1297</v>
      </c>
      <c r="F431" s="4">
        <f t="shared" si="55"/>
        <v>0.62083333333333335</v>
      </c>
      <c r="G431" t="s">
        <v>1298</v>
      </c>
      <c r="H431" t="s">
        <v>30</v>
      </c>
      <c r="I431" t="str">
        <f t="shared" si="56"/>
        <v>Data Analyst</v>
      </c>
      <c r="J431" t="s">
        <v>31</v>
      </c>
      <c r="K431" t="s">
        <v>63</v>
      </c>
      <c r="L431">
        <f t="shared" si="57"/>
        <v>187.5</v>
      </c>
      <c r="M431" t="s">
        <v>108</v>
      </c>
      <c r="N431" t="str">
        <f t="shared" si="58"/>
        <v>Education</v>
      </c>
      <c r="O431" t="s">
        <v>34</v>
      </c>
      <c r="P431" t="str">
        <f t="shared" si="59"/>
        <v>Python</v>
      </c>
      <c r="Q431">
        <v>8</v>
      </c>
      <c r="R431">
        <v>7</v>
      </c>
      <c r="S431">
        <v>5</v>
      </c>
      <c r="T431">
        <v>4</v>
      </c>
      <c r="U431">
        <v>7</v>
      </c>
      <c r="V431">
        <v>7</v>
      </c>
      <c r="W431" t="s">
        <v>55</v>
      </c>
      <c r="X431" t="s">
        <v>36</v>
      </c>
      <c r="Y431" t="s">
        <v>37</v>
      </c>
      <c r="Z431">
        <v>30</v>
      </c>
      <c r="AA431" t="s">
        <v>634</v>
      </c>
      <c r="AB431" t="str">
        <f t="shared" si="60"/>
        <v>Other</v>
      </c>
      <c r="AC431" t="s">
        <v>227</v>
      </c>
      <c r="AD431" t="str">
        <f t="shared" si="61"/>
        <v>High School</v>
      </c>
      <c r="AE431" t="s">
        <v>39</v>
      </c>
      <c r="AF431" t="str">
        <f t="shared" si="62"/>
        <v>White or Caucasian</v>
      </c>
    </row>
    <row r="432" spans="1:32" x14ac:dyDescent="0.45">
      <c r="A432" t="s">
        <v>1299</v>
      </c>
      <c r="B432" t="s">
        <v>25</v>
      </c>
      <c r="C432" s="3" t="s">
        <v>1099</v>
      </c>
      <c r="D432" s="3">
        <f t="shared" si="54"/>
        <v>44871</v>
      </c>
      <c r="E432" t="s">
        <v>1300</v>
      </c>
      <c r="F432" s="4">
        <f t="shared" si="55"/>
        <v>0.62291666666666667</v>
      </c>
      <c r="G432" t="s">
        <v>1052</v>
      </c>
      <c r="H432" t="s">
        <v>123</v>
      </c>
      <c r="I432" t="str">
        <f t="shared" si="56"/>
        <v>None</v>
      </c>
      <c r="J432" t="s">
        <v>31</v>
      </c>
      <c r="K432" t="s">
        <v>53</v>
      </c>
      <c r="L432">
        <f t="shared" si="57"/>
        <v>20</v>
      </c>
      <c r="M432" t="s">
        <v>1301</v>
      </c>
      <c r="N432" t="str">
        <f t="shared" si="58"/>
        <v>Other</v>
      </c>
      <c r="O432" t="s">
        <v>34</v>
      </c>
      <c r="P432" t="str">
        <f t="shared" si="59"/>
        <v>Python</v>
      </c>
      <c r="Q432">
        <v>0</v>
      </c>
      <c r="R432">
        <v>6</v>
      </c>
      <c r="S432">
        <v>6</v>
      </c>
      <c r="T432">
        <v>2</v>
      </c>
      <c r="U432">
        <v>0</v>
      </c>
      <c r="V432">
        <v>3</v>
      </c>
      <c r="W432" t="s">
        <v>85</v>
      </c>
      <c r="X432" t="s">
        <v>70</v>
      </c>
      <c r="Y432" t="s">
        <v>37</v>
      </c>
      <c r="Z432">
        <v>23</v>
      </c>
      <c r="AA432" t="s">
        <v>47</v>
      </c>
      <c r="AB432" t="str">
        <f t="shared" si="60"/>
        <v>Canada</v>
      </c>
      <c r="AC432" t="s">
        <v>237</v>
      </c>
      <c r="AD432" t="str">
        <f t="shared" si="61"/>
        <v>Bachelors</v>
      </c>
      <c r="AE432" t="s">
        <v>48</v>
      </c>
      <c r="AF432" t="str">
        <f t="shared" si="62"/>
        <v>Asian or Asian American</v>
      </c>
    </row>
    <row r="433" spans="1:32" x14ac:dyDescent="0.45">
      <c r="A433" t="s">
        <v>1302</v>
      </c>
      <c r="B433" t="s">
        <v>25</v>
      </c>
      <c r="C433" s="3" t="s">
        <v>1099</v>
      </c>
      <c r="D433" s="3">
        <f t="shared" si="54"/>
        <v>44871</v>
      </c>
      <c r="E433" t="s">
        <v>1303</v>
      </c>
      <c r="F433" s="4">
        <f t="shared" si="55"/>
        <v>0.6743055555555556</v>
      </c>
      <c r="G433" t="s">
        <v>313</v>
      </c>
      <c r="H433" t="s">
        <v>1304</v>
      </c>
      <c r="I433" t="str">
        <f t="shared" si="56"/>
        <v>Other</v>
      </c>
      <c r="J433" t="s">
        <v>43</v>
      </c>
      <c r="K433" t="s">
        <v>94</v>
      </c>
      <c r="L433">
        <f t="shared" si="57"/>
        <v>75.5</v>
      </c>
      <c r="M433" t="s">
        <v>108</v>
      </c>
      <c r="N433" t="str">
        <f t="shared" si="58"/>
        <v>Education</v>
      </c>
      <c r="O433" t="s">
        <v>46</v>
      </c>
      <c r="P433" t="str">
        <f t="shared" si="59"/>
        <v>R</v>
      </c>
      <c r="Q433">
        <v>7</v>
      </c>
      <c r="R433">
        <v>7</v>
      </c>
      <c r="S433">
        <v>6</v>
      </c>
      <c r="T433">
        <v>7</v>
      </c>
      <c r="U433">
        <v>6</v>
      </c>
      <c r="V433">
        <v>6</v>
      </c>
      <c r="W433" t="s">
        <v>55</v>
      </c>
      <c r="X433" t="s">
        <v>36</v>
      </c>
      <c r="Y433" t="s">
        <v>65</v>
      </c>
      <c r="Z433">
        <v>31</v>
      </c>
      <c r="AA433" t="s">
        <v>109</v>
      </c>
      <c r="AB433" t="str">
        <f t="shared" si="60"/>
        <v>United Kingdom</v>
      </c>
      <c r="AC433" t="s">
        <v>237</v>
      </c>
      <c r="AD433" t="str">
        <f t="shared" si="61"/>
        <v>Bachelors</v>
      </c>
      <c r="AE433" t="s">
        <v>39</v>
      </c>
      <c r="AF433" t="str">
        <f t="shared" si="62"/>
        <v>White or Caucasian</v>
      </c>
    </row>
    <row r="434" spans="1:32" x14ac:dyDescent="0.45">
      <c r="A434" t="s">
        <v>1305</v>
      </c>
      <c r="B434" t="s">
        <v>25</v>
      </c>
      <c r="C434" s="3" t="s">
        <v>1099</v>
      </c>
      <c r="D434" s="3">
        <f t="shared" si="54"/>
        <v>44871</v>
      </c>
      <c r="E434" t="s">
        <v>1306</v>
      </c>
      <c r="F434" s="4">
        <f t="shared" si="55"/>
        <v>0.6958333333333333</v>
      </c>
      <c r="G434" t="s">
        <v>654</v>
      </c>
      <c r="H434" t="s">
        <v>30</v>
      </c>
      <c r="I434" t="str">
        <f t="shared" si="56"/>
        <v>Data Analyst</v>
      </c>
      <c r="J434" t="s">
        <v>43</v>
      </c>
      <c r="K434" t="s">
        <v>44</v>
      </c>
      <c r="L434">
        <f t="shared" si="57"/>
        <v>53</v>
      </c>
      <c r="M434" t="s">
        <v>1307</v>
      </c>
      <c r="N434" t="str">
        <f t="shared" si="58"/>
        <v>Other</v>
      </c>
      <c r="O434" t="s">
        <v>34</v>
      </c>
      <c r="P434" t="str">
        <f t="shared" si="59"/>
        <v>Python</v>
      </c>
      <c r="Q434">
        <v>7</v>
      </c>
      <c r="R434">
        <v>5</v>
      </c>
      <c r="S434">
        <v>9</v>
      </c>
      <c r="T434">
        <v>9</v>
      </c>
      <c r="U434">
        <v>4</v>
      </c>
      <c r="V434">
        <v>9</v>
      </c>
      <c r="W434" t="s">
        <v>85</v>
      </c>
      <c r="X434" t="s">
        <v>56</v>
      </c>
      <c r="Y434" t="s">
        <v>65</v>
      </c>
      <c r="Z434">
        <v>29</v>
      </c>
      <c r="AA434" t="s">
        <v>1308</v>
      </c>
      <c r="AB434" t="str">
        <f t="shared" si="60"/>
        <v>Other</v>
      </c>
      <c r="AC434" t="s">
        <v>240</v>
      </c>
      <c r="AD434" t="str">
        <f t="shared" si="61"/>
        <v>Masters</v>
      </c>
      <c r="AE434" t="s">
        <v>58</v>
      </c>
      <c r="AF434" t="str">
        <f t="shared" si="62"/>
        <v>Black or African American</v>
      </c>
    </row>
    <row r="435" spans="1:32" x14ac:dyDescent="0.45">
      <c r="A435" t="s">
        <v>1309</v>
      </c>
      <c r="B435" t="s">
        <v>25</v>
      </c>
      <c r="C435" s="3" t="s">
        <v>1099</v>
      </c>
      <c r="D435" s="3">
        <f t="shared" si="54"/>
        <v>44871</v>
      </c>
      <c r="E435" t="s">
        <v>950</v>
      </c>
      <c r="F435" s="4">
        <f t="shared" si="55"/>
        <v>0.70277777777777772</v>
      </c>
      <c r="G435" t="s">
        <v>193</v>
      </c>
      <c r="H435" t="s">
        <v>30</v>
      </c>
      <c r="I435" t="str">
        <f t="shared" si="56"/>
        <v>Data Analyst</v>
      </c>
      <c r="J435" t="s">
        <v>31</v>
      </c>
      <c r="K435" t="s">
        <v>53</v>
      </c>
      <c r="L435">
        <f t="shared" si="57"/>
        <v>20</v>
      </c>
      <c r="M435" t="s">
        <v>103</v>
      </c>
      <c r="N435" t="str">
        <f t="shared" si="58"/>
        <v>Tech</v>
      </c>
      <c r="O435" t="s">
        <v>34</v>
      </c>
      <c r="P435" t="str">
        <f t="shared" si="59"/>
        <v>Python</v>
      </c>
      <c r="Q435">
        <v>5</v>
      </c>
      <c r="R435">
        <v>4</v>
      </c>
      <c r="S435">
        <v>4</v>
      </c>
      <c r="T435">
        <v>5</v>
      </c>
      <c r="U435">
        <v>7</v>
      </c>
      <c r="V435">
        <v>10</v>
      </c>
      <c r="W435" t="s">
        <v>85</v>
      </c>
      <c r="X435" t="s">
        <v>36</v>
      </c>
      <c r="Y435" t="s">
        <v>37</v>
      </c>
      <c r="Z435">
        <v>24</v>
      </c>
      <c r="AA435" t="s">
        <v>57</v>
      </c>
      <c r="AB435" t="str">
        <f t="shared" si="60"/>
        <v>Other</v>
      </c>
      <c r="AC435" t="s">
        <v>237</v>
      </c>
      <c r="AD435" t="str">
        <f t="shared" si="61"/>
        <v>Bachelors</v>
      </c>
      <c r="AE435" t="s">
        <v>161</v>
      </c>
      <c r="AF435" t="str">
        <f t="shared" si="62"/>
        <v>Other</v>
      </c>
    </row>
    <row r="436" spans="1:32" x14ac:dyDescent="0.45">
      <c r="A436" t="s">
        <v>1310</v>
      </c>
      <c r="B436" t="s">
        <v>25</v>
      </c>
      <c r="C436" s="3" t="s">
        <v>1099</v>
      </c>
      <c r="D436" s="3">
        <f t="shared" si="54"/>
        <v>44871</v>
      </c>
      <c r="E436" t="s">
        <v>1311</v>
      </c>
      <c r="F436" s="4">
        <f t="shared" si="55"/>
        <v>0.71180555555555558</v>
      </c>
      <c r="G436" t="s">
        <v>193</v>
      </c>
      <c r="H436" t="s">
        <v>1312</v>
      </c>
      <c r="I436" t="str">
        <f t="shared" si="56"/>
        <v>Other</v>
      </c>
      <c r="J436" t="s">
        <v>43</v>
      </c>
      <c r="K436" t="s">
        <v>44</v>
      </c>
      <c r="L436">
        <f t="shared" si="57"/>
        <v>53</v>
      </c>
      <c r="M436" t="s">
        <v>1313</v>
      </c>
      <c r="N436" t="str">
        <f t="shared" si="58"/>
        <v>Other</v>
      </c>
      <c r="O436" t="s">
        <v>34</v>
      </c>
      <c r="P436" t="str">
        <f t="shared" si="59"/>
        <v>Python</v>
      </c>
      <c r="Q436">
        <v>2</v>
      </c>
      <c r="R436">
        <v>7</v>
      </c>
      <c r="S436">
        <v>6</v>
      </c>
      <c r="T436">
        <v>5</v>
      </c>
      <c r="U436">
        <v>6</v>
      </c>
      <c r="V436">
        <v>4</v>
      </c>
      <c r="W436" t="s">
        <v>85</v>
      </c>
      <c r="X436" t="s">
        <v>70</v>
      </c>
      <c r="Y436" t="s">
        <v>37</v>
      </c>
      <c r="Z436">
        <v>36</v>
      </c>
      <c r="AA436" t="s">
        <v>38</v>
      </c>
      <c r="AB436" t="str">
        <f t="shared" si="60"/>
        <v>United States</v>
      </c>
      <c r="AC436" t="s">
        <v>240</v>
      </c>
      <c r="AD436" t="str">
        <f t="shared" si="61"/>
        <v>Masters</v>
      </c>
      <c r="AE436" t="s">
        <v>48</v>
      </c>
      <c r="AF436" t="str">
        <f t="shared" si="62"/>
        <v>Asian or Asian American</v>
      </c>
    </row>
    <row r="437" spans="1:32" x14ac:dyDescent="0.45">
      <c r="A437" t="s">
        <v>1314</v>
      </c>
      <c r="B437" t="s">
        <v>25</v>
      </c>
      <c r="C437" s="3" t="s">
        <v>1099</v>
      </c>
      <c r="D437" s="3">
        <f t="shared" si="54"/>
        <v>44871</v>
      </c>
      <c r="E437" t="s">
        <v>1315</v>
      </c>
      <c r="F437" s="4">
        <f t="shared" si="55"/>
        <v>0.72291666666666665</v>
      </c>
      <c r="G437" t="s">
        <v>358</v>
      </c>
      <c r="H437" t="s">
        <v>30</v>
      </c>
      <c r="I437" t="str">
        <f t="shared" si="56"/>
        <v>Data Analyst</v>
      </c>
      <c r="J437" t="s">
        <v>31</v>
      </c>
      <c r="K437" t="s">
        <v>44</v>
      </c>
      <c r="L437">
        <f t="shared" si="57"/>
        <v>53</v>
      </c>
      <c r="M437" t="s">
        <v>712</v>
      </c>
      <c r="N437" t="str">
        <f t="shared" si="58"/>
        <v>Real Estate</v>
      </c>
      <c r="O437" t="s">
        <v>46</v>
      </c>
      <c r="P437" t="str">
        <f t="shared" si="59"/>
        <v>R</v>
      </c>
      <c r="Q437">
        <v>4</v>
      </c>
      <c r="R437">
        <v>6</v>
      </c>
      <c r="S437">
        <v>6</v>
      </c>
      <c r="T437">
        <v>6</v>
      </c>
      <c r="U437">
        <v>6</v>
      </c>
      <c r="V437">
        <v>6</v>
      </c>
      <c r="W437" t="s">
        <v>69</v>
      </c>
      <c r="X437" t="s">
        <v>36</v>
      </c>
      <c r="Y437" t="s">
        <v>65</v>
      </c>
      <c r="Z437">
        <v>32</v>
      </c>
      <c r="AA437" t="s">
        <v>38</v>
      </c>
      <c r="AB437" t="str">
        <f t="shared" si="60"/>
        <v>United States</v>
      </c>
      <c r="AC437" t="s">
        <v>240</v>
      </c>
      <c r="AD437" t="str">
        <f t="shared" si="61"/>
        <v>Masters</v>
      </c>
      <c r="AE437" t="s">
        <v>39</v>
      </c>
      <c r="AF437" t="str">
        <f t="shared" si="62"/>
        <v>White or Caucasian</v>
      </c>
    </row>
    <row r="438" spans="1:32" x14ac:dyDescent="0.45">
      <c r="A438" t="s">
        <v>1316</v>
      </c>
      <c r="B438" t="s">
        <v>25</v>
      </c>
      <c r="C438" s="3" t="s">
        <v>1099</v>
      </c>
      <c r="D438" s="3">
        <f t="shared" si="54"/>
        <v>44871</v>
      </c>
      <c r="E438" t="s">
        <v>1317</v>
      </c>
      <c r="F438" s="4">
        <f t="shared" si="55"/>
        <v>0.74513888888888891</v>
      </c>
      <c r="G438" t="s">
        <v>217</v>
      </c>
      <c r="H438" t="s">
        <v>266</v>
      </c>
      <c r="I438" t="str">
        <f t="shared" si="56"/>
        <v>Other</v>
      </c>
      <c r="J438" t="s">
        <v>31</v>
      </c>
      <c r="K438" t="s">
        <v>87</v>
      </c>
      <c r="L438">
        <f t="shared" si="57"/>
        <v>95.5</v>
      </c>
      <c r="M438" t="s">
        <v>33</v>
      </c>
      <c r="N438" t="str">
        <f t="shared" si="58"/>
        <v>Healthcare</v>
      </c>
      <c r="O438" t="s">
        <v>34</v>
      </c>
      <c r="P438" t="str">
        <f t="shared" si="59"/>
        <v>Python</v>
      </c>
      <c r="Q438">
        <v>8</v>
      </c>
      <c r="R438">
        <v>9</v>
      </c>
      <c r="S438">
        <v>7</v>
      </c>
      <c r="T438">
        <v>7</v>
      </c>
      <c r="U438">
        <v>7</v>
      </c>
      <c r="V438">
        <v>9</v>
      </c>
      <c r="W438" t="s">
        <v>69</v>
      </c>
      <c r="X438" t="s">
        <v>36</v>
      </c>
      <c r="Y438" t="s">
        <v>65</v>
      </c>
      <c r="Z438">
        <v>36</v>
      </c>
      <c r="AA438" t="s">
        <v>38</v>
      </c>
      <c r="AB438" t="str">
        <f t="shared" si="60"/>
        <v>United States</v>
      </c>
      <c r="AC438" t="s">
        <v>237</v>
      </c>
      <c r="AD438" t="str">
        <f t="shared" si="61"/>
        <v>Bachelors</v>
      </c>
      <c r="AE438" t="s">
        <v>39</v>
      </c>
      <c r="AF438" t="str">
        <f t="shared" si="62"/>
        <v>White or Caucasian</v>
      </c>
    </row>
    <row r="439" spans="1:32" x14ac:dyDescent="0.45">
      <c r="A439" t="s">
        <v>1318</v>
      </c>
      <c r="B439" t="s">
        <v>25</v>
      </c>
      <c r="C439" s="3" t="s">
        <v>1099</v>
      </c>
      <c r="D439" s="3">
        <f t="shared" si="54"/>
        <v>44871</v>
      </c>
      <c r="E439" t="s">
        <v>977</v>
      </c>
      <c r="F439" s="4">
        <f t="shared" si="55"/>
        <v>0.75347222222222221</v>
      </c>
      <c r="G439" t="s">
        <v>1209</v>
      </c>
      <c r="H439" t="s">
        <v>52</v>
      </c>
      <c r="I439" t="str">
        <f t="shared" si="56"/>
        <v>Data Engineer</v>
      </c>
      <c r="J439" t="s">
        <v>43</v>
      </c>
      <c r="K439" t="s">
        <v>32</v>
      </c>
      <c r="L439">
        <f t="shared" si="57"/>
        <v>115.5</v>
      </c>
      <c r="M439" t="s">
        <v>33</v>
      </c>
      <c r="N439" t="str">
        <f t="shared" si="58"/>
        <v>Healthcare</v>
      </c>
      <c r="O439" t="s">
        <v>84</v>
      </c>
      <c r="P439" t="str">
        <f t="shared" si="59"/>
        <v>Other</v>
      </c>
      <c r="Q439">
        <v>8</v>
      </c>
      <c r="R439">
        <v>6</v>
      </c>
      <c r="S439">
        <v>5</v>
      </c>
      <c r="T439">
        <v>2</v>
      </c>
      <c r="U439">
        <v>3</v>
      </c>
      <c r="V439">
        <v>2</v>
      </c>
      <c r="W439" t="s">
        <v>55</v>
      </c>
      <c r="X439" t="s">
        <v>70</v>
      </c>
      <c r="Y439" t="s">
        <v>37</v>
      </c>
      <c r="Z439">
        <v>30</v>
      </c>
      <c r="AA439" t="s">
        <v>38</v>
      </c>
      <c r="AB439" t="str">
        <f t="shared" si="60"/>
        <v>United States</v>
      </c>
      <c r="AC439" t="s">
        <v>237</v>
      </c>
      <c r="AD439" t="str">
        <f t="shared" si="61"/>
        <v>Bachelors</v>
      </c>
      <c r="AE439" t="s">
        <v>39</v>
      </c>
      <c r="AF439" t="str">
        <f t="shared" si="62"/>
        <v>White or Caucasian</v>
      </c>
    </row>
    <row r="440" spans="1:32" x14ac:dyDescent="0.45">
      <c r="A440" t="s">
        <v>1319</v>
      </c>
      <c r="B440" t="s">
        <v>25</v>
      </c>
      <c r="C440" s="3" t="s">
        <v>1099</v>
      </c>
      <c r="D440" s="3">
        <f t="shared" si="54"/>
        <v>44871</v>
      </c>
      <c r="E440" t="s">
        <v>987</v>
      </c>
      <c r="F440" s="4">
        <f t="shared" si="55"/>
        <v>0.77083333333333337</v>
      </c>
      <c r="G440" t="s">
        <v>1320</v>
      </c>
      <c r="H440" t="s">
        <v>123</v>
      </c>
      <c r="I440" t="str">
        <f t="shared" si="56"/>
        <v>None</v>
      </c>
      <c r="J440" t="s">
        <v>31</v>
      </c>
      <c r="K440" t="s">
        <v>53</v>
      </c>
      <c r="L440">
        <f t="shared" si="57"/>
        <v>20</v>
      </c>
      <c r="M440" t="s">
        <v>1321</v>
      </c>
      <c r="N440" t="str">
        <f t="shared" si="58"/>
        <v>Other</v>
      </c>
      <c r="O440" t="s">
        <v>46</v>
      </c>
      <c r="P440" t="str">
        <f t="shared" si="59"/>
        <v>R</v>
      </c>
      <c r="Q440">
        <v>0</v>
      </c>
      <c r="R440">
        <v>2</v>
      </c>
      <c r="S440">
        <v>2</v>
      </c>
      <c r="T440">
        <v>3</v>
      </c>
      <c r="U440">
        <v>3</v>
      </c>
      <c r="V440">
        <v>4</v>
      </c>
      <c r="W440" t="s">
        <v>85</v>
      </c>
      <c r="X440" t="s">
        <v>56</v>
      </c>
      <c r="Y440" t="s">
        <v>37</v>
      </c>
      <c r="Z440">
        <v>42</v>
      </c>
      <c r="AA440" t="s">
        <v>144</v>
      </c>
      <c r="AB440" t="str">
        <f t="shared" si="60"/>
        <v>Other</v>
      </c>
      <c r="AC440" t="s">
        <v>240</v>
      </c>
      <c r="AD440" t="str">
        <f t="shared" si="61"/>
        <v>Masters</v>
      </c>
      <c r="AE440" t="s">
        <v>58</v>
      </c>
      <c r="AF440" t="str">
        <f t="shared" si="62"/>
        <v>Black or African American</v>
      </c>
    </row>
    <row r="441" spans="1:32" x14ac:dyDescent="0.45">
      <c r="A441" t="s">
        <v>1322</v>
      </c>
      <c r="B441" t="s">
        <v>25</v>
      </c>
      <c r="C441" s="3" t="s">
        <v>1099</v>
      </c>
      <c r="D441" s="3">
        <f t="shared" si="54"/>
        <v>44871</v>
      </c>
      <c r="E441" t="s">
        <v>1323</v>
      </c>
      <c r="F441" s="4">
        <f t="shared" si="55"/>
        <v>0.77986111111111112</v>
      </c>
      <c r="G441" t="s">
        <v>1324</v>
      </c>
      <c r="H441" t="s">
        <v>30</v>
      </c>
      <c r="I441" t="str">
        <f t="shared" si="56"/>
        <v>Data Analyst</v>
      </c>
      <c r="J441" t="s">
        <v>31</v>
      </c>
      <c r="K441" t="s">
        <v>87</v>
      </c>
      <c r="L441">
        <f t="shared" si="57"/>
        <v>95.5</v>
      </c>
      <c r="M441" t="s">
        <v>33</v>
      </c>
      <c r="N441" t="str">
        <f t="shared" si="58"/>
        <v>Healthcare</v>
      </c>
      <c r="O441" t="s">
        <v>533</v>
      </c>
      <c r="P441" t="str">
        <f t="shared" si="59"/>
        <v>Other</v>
      </c>
      <c r="Q441">
        <v>6</v>
      </c>
      <c r="R441">
        <v>6</v>
      </c>
      <c r="S441">
        <v>6</v>
      </c>
      <c r="T441">
        <v>5</v>
      </c>
      <c r="U441">
        <v>4</v>
      </c>
      <c r="V441">
        <v>4</v>
      </c>
      <c r="W441" t="s">
        <v>55</v>
      </c>
      <c r="X441" t="s">
        <v>36</v>
      </c>
      <c r="Y441" t="s">
        <v>37</v>
      </c>
      <c r="Z441">
        <v>53</v>
      </c>
      <c r="AA441" t="s">
        <v>1325</v>
      </c>
      <c r="AB441" t="str">
        <f t="shared" si="60"/>
        <v>Other</v>
      </c>
      <c r="AC441" t="s">
        <v>324</v>
      </c>
      <c r="AD441" t="str">
        <f t="shared" si="61"/>
        <v>PhD</v>
      </c>
      <c r="AE441" t="s">
        <v>39</v>
      </c>
      <c r="AF441" t="str">
        <f t="shared" si="62"/>
        <v>White or Caucasian</v>
      </c>
    </row>
    <row r="442" spans="1:32" x14ac:dyDescent="0.45">
      <c r="A442" t="s">
        <v>1326</v>
      </c>
      <c r="B442" t="s">
        <v>25</v>
      </c>
      <c r="C442" s="3" t="s">
        <v>1099</v>
      </c>
      <c r="D442" s="3">
        <f t="shared" si="54"/>
        <v>44871</v>
      </c>
      <c r="E442" t="s">
        <v>1327</v>
      </c>
      <c r="F442" s="4">
        <f t="shared" si="55"/>
        <v>0.7895833333333333</v>
      </c>
      <c r="G442" t="s">
        <v>1328</v>
      </c>
      <c r="H442" t="s">
        <v>30</v>
      </c>
      <c r="I442" t="str">
        <f t="shared" si="56"/>
        <v>Data Analyst</v>
      </c>
      <c r="J442" t="s">
        <v>43</v>
      </c>
      <c r="K442" t="s">
        <v>53</v>
      </c>
      <c r="L442">
        <f t="shared" si="57"/>
        <v>20</v>
      </c>
      <c r="M442" t="s">
        <v>45</v>
      </c>
      <c r="N442" t="str">
        <f t="shared" si="58"/>
        <v>Finance</v>
      </c>
      <c r="O442" t="s">
        <v>34</v>
      </c>
      <c r="P442" t="str">
        <f t="shared" si="59"/>
        <v>Python</v>
      </c>
      <c r="Q442">
        <v>1</v>
      </c>
      <c r="R442">
        <v>7</v>
      </c>
      <c r="S442">
        <v>4</v>
      </c>
      <c r="T442">
        <v>10</v>
      </c>
      <c r="U442">
        <v>10</v>
      </c>
      <c r="V442">
        <v>10</v>
      </c>
      <c r="W442" t="s">
        <v>85</v>
      </c>
      <c r="X442" t="s">
        <v>70</v>
      </c>
      <c r="Y442" t="s">
        <v>37</v>
      </c>
      <c r="Z442">
        <v>25</v>
      </c>
      <c r="AA442" t="s">
        <v>132</v>
      </c>
      <c r="AB442" t="str">
        <f t="shared" si="60"/>
        <v>Other</v>
      </c>
      <c r="AC442" t="s">
        <v>227</v>
      </c>
      <c r="AD442" t="str">
        <f t="shared" si="61"/>
        <v>High School</v>
      </c>
      <c r="AE442" t="s">
        <v>1329</v>
      </c>
      <c r="AF442" t="str">
        <f t="shared" si="62"/>
        <v>Other</v>
      </c>
    </row>
    <row r="443" spans="1:32" x14ac:dyDescent="0.45">
      <c r="A443" t="s">
        <v>1330</v>
      </c>
      <c r="B443" t="s">
        <v>25</v>
      </c>
      <c r="C443" s="3" t="s">
        <v>1099</v>
      </c>
      <c r="D443" s="3">
        <f t="shared" si="54"/>
        <v>44871</v>
      </c>
      <c r="E443" t="s">
        <v>1331</v>
      </c>
      <c r="F443" s="4">
        <f t="shared" si="55"/>
        <v>0.79583333333333328</v>
      </c>
      <c r="G443" t="s">
        <v>146</v>
      </c>
      <c r="H443" t="s">
        <v>30</v>
      </c>
      <c r="I443" t="str">
        <f t="shared" si="56"/>
        <v>Data Analyst</v>
      </c>
      <c r="J443" t="s">
        <v>43</v>
      </c>
      <c r="K443" t="s">
        <v>53</v>
      </c>
      <c r="L443">
        <f t="shared" si="57"/>
        <v>20</v>
      </c>
      <c r="M443" t="s">
        <v>33</v>
      </c>
      <c r="N443" t="str">
        <f t="shared" si="58"/>
        <v>Healthcare</v>
      </c>
      <c r="O443" t="s">
        <v>34</v>
      </c>
      <c r="P443" t="str">
        <f t="shared" si="59"/>
        <v>Python</v>
      </c>
      <c r="Q443">
        <v>1</v>
      </c>
      <c r="R443">
        <v>5</v>
      </c>
      <c r="S443">
        <v>4</v>
      </c>
      <c r="T443">
        <v>6</v>
      </c>
      <c r="U443">
        <v>5</v>
      </c>
      <c r="V443">
        <v>6</v>
      </c>
      <c r="W443" t="s">
        <v>85</v>
      </c>
      <c r="X443" t="s">
        <v>70</v>
      </c>
      <c r="Y443" t="s">
        <v>37</v>
      </c>
      <c r="Z443">
        <v>23</v>
      </c>
      <c r="AA443" t="s">
        <v>1332</v>
      </c>
      <c r="AB443" t="str">
        <f t="shared" si="60"/>
        <v>Other</v>
      </c>
      <c r="AC443" t="s">
        <v>237</v>
      </c>
      <c r="AD443" t="str">
        <f t="shared" si="61"/>
        <v>Bachelors</v>
      </c>
      <c r="AE443" t="s">
        <v>39</v>
      </c>
      <c r="AF443" t="str">
        <f t="shared" si="62"/>
        <v>White or Caucasian</v>
      </c>
    </row>
    <row r="444" spans="1:32" x14ac:dyDescent="0.45">
      <c r="A444" t="s">
        <v>1333</v>
      </c>
      <c r="B444" t="s">
        <v>25</v>
      </c>
      <c r="C444" s="3" t="s">
        <v>1099</v>
      </c>
      <c r="D444" s="3">
        <f t="shared" si="54"/>
        <v>44871</v>
      </c>
      <c r="E444" t="s">
        <v>1334</v>
      </c>
      <c r="F444" s="4">
        <f t="shared" si="55"/>
        <v>0.8125</v>
      </c>
      <c r="G444" t="s">
        <v>1335</v>
      </c>
      <c r="H444" t="s">
        <v>30</v>
      </c>
      <c r="I444" t="str">
        <f t="shared" si="56"/>
        <v>Data Analyst</v>
      </c>
      <c r="J444" t="s">
        <v>31</v>
      </c>
      <c r="K444" t="s">
        <v>53</v>
      </c>
      <c r="L444">
        <f t="shared" si="57"/>
        <v>20</v>
      </c>
      <c r="M444" t="s">
        <v>794</v>
      </c>
      <c r="N444" t="str">
        <f t="shared" si="58"/>
        <v>Agriculture</v>
      </c>
      <c r="O444" t="s">
        <v>34</v>
      </c>
      <c r="P444" t="str">
        <f t="shared" si="59"/>
        <v>Python</v>
      </c>
      <c r="Q444">
        <v>2</v>
      </c>
      <c r="R444">
        <v>1</v>
      </c>
      <c r="S444">
        <v>3</v>
      </c>
      <c r="T444">
        <v>3</v>
      </c>
      <c r="U444">
        <v>3</v>
      </c>
      <c r="V444">
        <v>4</v>
      </c>
      <c r="W444" t="s">
        <v>69</v>
      </c>
      <c r="X444" t="s">
        <v>70</v>
      </c>
      <c r="Y444" t="s">
        <v>37</v>
      </c>
      <c r="Z444">
        <v>36</v>
      </c>
      <c r="AA444" t="s">
        <v>1336</v>
      </c>
      <c r="AB444" t="str">
        <f t="shared" si="60"/>
        <v>Other</v>
      </c>
      <c r="AC444" t="s">
        <v>237</v>
      </c>
      <c r="AD444" t="str">
        <f t="shared" si="61"/>
        <v>Bachelors</v>
      </c>
      <c r="AE444" t="s">
        <v>1337</v>
      </c>
      <c r="AF444" t="str">
        <f t="shared" si="62"/>
        <v>Other</v>
      </c>
    </row>
    <row r="445" spans="1:32" x14ac:dyDescent="0.45">
      <c r="A445" t="s">
        <v>1338</v>
      </c>
      <c r="B445" t="s">
        <v>25</v>
      </c>
      <c r="C445" s="3" t="s">
        <v>1099</v>
      </c>
      <c r="D445" s="3">
        <f t="shared" si="54"/>
        <v>44871</v>
      </c>
      <c r="E445" t="s">
        <v>1339</v>
      </c>
      <c r="F445" s="4">
        <f t="shared" si="55"/>
        <v>0.81388888888888888</v>
      </c>
      <c r="G445" t="s">
        <v>1340</v>
      </c>
      <c r="H445" t="s">
        <v>30</v>
      </c>
      <c r="I445" t="str">
        <f t="shared" si="56"/>
        <v>Data Analyst</v>
      </c>
      <c r="J445" t="s">
        <v>31</v>
      </c>
      <c r="K445" t="s">
        <v>44</v>
      </c>
      <c r="L445">
        <f t="shared" si="57"/>
        <v>53</v>
      </c>
      <c r="M445" t="s">
        <v>33</v>
      </c>
      <c r="N445" t="str">
        <f t="shared" si="58"/>
        <v>Healthcare</v>
      </c>
      <c r="O445" t="s">
        <v>1341</v>
      </c>
      <c r="P445" t="str">
        <f t="shared" si="59"/>
        <v>Other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>
        <v>6</v>
      </c>
      <c r="W445" t="s">
        <v>55</v>
      </c>
      <c r="X445" t="s">
        <v>56</v>
      </c>
      <c r="Y445" t="s">
        <v>37</v>
      </c>
      <c r="Z445">
        <v>32</v>
      </c>
      <c r="AA445" t="s">
        <v>1342</v>
      </c>
      <c r="AB445" t="str">
        <f t="shared" si="60"/>
        <v>Other</v>
      </c>
      <c r="AC445" t="s">
        <v>237</v>
      </c>
      <c r="AD445" t="str">
        <f t="shared" si="61"/>
        <v>Bachelors</v>
      </c>
      <c r="AE445" t="s">
        <v>1343</v>
      </c>
      <c r="AF445" t="str">
        <f t="shared" si="62"/>
        <v>Other</v>
      </c>
    </row>
    <row r="446" spans="1:32" x14ac:dyDescent="0.45">
      <c r="A446" t="s">
        <v>1344</v>
      </c>
      <c r="B446" t="s">
        <v>25</v>
      </c>
      <c r="C446" s="3" t="s">
        <v>1099</v>
      </c>
      <c r="D446" s="3">
        <f t="shared" si="54"/>
        <v>44871</v>
      </c>
      <c r="E446" t="s">
        <v>1345</v>
      </c>
      <c r="F446" s="4">
        <f t="shared" si="55"/>
        <v>0.81736111111111109</v>
      </c>
      <c r="G446" t="s">
        <v>131</v>
      </c>
      <c r="H446" t="s">
        <v>30</v>
      </c>
      <c r="I446" t="str">
        <f t="shared" si="56"/>
        <v>Data Analyst</v>
      </c>
      <c r="J446" t="s">
        <v>43</v>
      </c>
      <c r="K446" t="s">
        <v>87</v>
      </c>
      <c r="L446">
        <f t="shared" si="57"/>
        <v>95.5</v>
      </c>
      <c r="M446" t="s">
        <v>45</v>
      </c>
      <c r="N446" t="str">
        <f t="shared" si="58"/>
        <v>Finance</v>
      </c>
      <c r="O446" t="s">
        <v>34</v>
      </c>
      <c r="P446" t="str">
        <f t="shared" si="59"/>
        <v>Python</v>
      </c>
      <c r="Q446">
        <v>3</v>
      </c>
      <c r="R446">
        <v>6</v>
      </c>
      <c r="S446">
        <v>4</v>
      </c>
      <c r="T446">
        <v>2</v>
      </c>
      <c r="U446">
        <v>2</v>
      </c>
      <c r="V446">
        <v>3</v>
      </c>
      <c r="W446" t="s">
        <v>69</v>
      </c>
      <c r="X446" t="s">
        <v>1346</v>
      </c>
      <c r="Y446" t="s">
        <v>37</v>
      </c>
      <c r="Z446">
        <v>25</v>
      </c>
      <c r="AA446" t="s">
        <v>38</v>
      </c>
      <c r="AB446" t="str">
        <f t="shared" si="60"/>
        <v>United States</v>
      </c>
      <c r="AC446" t="s">
        <v>240</v>
      </c>
      <c r="AD446" t="str">
        <f t="shared" si="61"/>
        <v>Masters</v>
      </c>
      <c r="AE446" t="s">
        <v>91</v>
      </c>
      <c r="AF446" t="str">
        <f t="shared" si="62"/>
        <v>Hispanic or Latino</v>
      </c>
    </row>
    <row r="447" spans="1:32" x14ac:dyDescent="0.45">
      <c r="A447" t="s">
        <v>1347</v>
      </c>
      <c r="B447" t="s">
        <v>25</v>
      </c>
      <c r="C447" s="3" t="s">
        <v>1099</v>
      </c>
      <c r="D447" s="3">
        <f t="shared" si="54"/>
        <v>44871</v>
      </c>
      <c r="E447" t="s">
        <v>1348</v>
      </c>
      <c r="F447" s="4">
        <f t="shared" si="55"/>
        <v>0.87013888888888891</v>
      </c>
      <c r="G447" t="s">
        <v>1024</v>
      </c>
      <c r="H447" t="s">
        <v>52</v>
      </c>
      <c r="I447" t="str">
        <f t="shared" si="56"/>
        <v>Data Engineer</v>
      </c>
      <c r="J447" t="s">
        <v>31</v>
      </c>
      <c r="K447" t="s">
        <v>44</v>
      </c>
      <c r="L447">
        <f t="shared" si="57"/>
        <v>53</v>
      </c>
      <c r="M447" t="s">
        <v>103</v>
      </c>
      <c r="N447" t="str">
        <f t="shared" si="58"/>
        <v>Tech</v>
      </c>
      <c r="O447" t="s">
        <v>34</v>
      </c>
      <c r="P447" t="str">
        <f t="shared" si="59"/>
        <v>Python</v>
      </c>
      <c r="Q447">
        <v>4</v>
      </c>
      <c r="R447">
        <v>4</v>
      </c>
      <c r="S447">
        <v>3</v>
      </c>
      <c r="T447">
        <v>4</v>
      </c>
      <c r="U447">
        <v>4</v>
      </c>
      <c r="V447">
        <v>5</v>
      </c>
      <c r="W447" t="s">
        <v>85</v>
      </c>
      <c r="X447" t="s">
        <v>36</v>
      </c>
      <c r="Y447" t="s">
        <v>65</v>
      </c>
      <c r="Z447">
        <v>35</v>
      </c>
      <c r="AA447" t="s">
        <v>109</v>
      </c>
      <c r="AB447" t="str">
        <f t="shared" si="60"/>
        <v>United Kingdom</v>
      </c>
      <c r="AC447" t="s">
        <v>240</v>
      </c>
      <c r="AD447" t="str">
        <f t="shared" si="61"/>
        <v>Masters</v>
      </c>
      <c r="AE447" t="s">
        <v>48</v>
      </c>
      <c r="AF447" t="str">
        <f t="shared" si="62"/>
        <v>Asian or Asian American</v>
      </c>
    </row>
    <row r="448" spans="1:32" x14ac:dyDescent="0.45">
      <c r="A448" t="s">
        <v>1349</v>
      </c>
      <c r="B448" t="s">
        <v>25</v>
      </c>
      <c r="C448" s="3" t="s">
        <v>1099</v>
      </c>
      <c r="D448" s="3">
        <f t="shared" si="54"/>
        <v>44871</v>
      </c>
      <c r="E448" t="s">
        <v>1350</v>
      </c>
      <c r="F448" s="4">
        <f t="shared" si="55"/>
        <v>0.87847222222222221</v>
      </c>
      <c r="G448" t="s">
        <v>322</v>
      </c>
      <c r="H448" t="s">
        <v>30</v>
      </c>
      <c r="I448" t="str">
        <f t="shared" si="56"/>
        <v>Data Analyst</v>
      </c>
      <c r="J448" t="s">
        <v>31</v>
      </c>
      <c r="K448" t="s">
        <v>94</v>
      </c>
      <c r="L448">
        <f t="shared" si="57"/>
        <v>75.5</v>
      </c>
      <c r="M448" t="s">
        <v>1351</v>
      </c>
      <c r="N448" t="str">
        <f t="shared" si="58"/>
        <v>Other</v>
      </c>
      <c r="O448" t="s">
        <v>46</v>
      </c>
      <c r="P448" t="str">
        <f t="shared" si="59"/>
        <v>R</v>
      </c>
      <c r="Q448">
        <v>3</v>
      </c>
      <c r="R448">
        <v>4</v>
      </c>
      <c r="S448">
        <v>4</v>
      </c>
      <c r="T448">
        <v>5</v>
      </c>
      <c r="U448">
        <v>4</v>
      </c>
      <c r="V448">
        <v>4</v>
      </c>
      <c r="W448" t="s">
        <v>64</v>
      </c>
      <c r="X448" t="s">
        <v>70</v>
      </c>
      <c r="Y448" t="s">
        <v>37</v>
      </c>
      <c r="Z448">
        <v>26</v>
      </c>
      <c r="AA448" t="s">
        <v>38</v>
      </c>
      <c r="AB448" t="str">
        <f t="shared" si="60"/>
        <v>United States</v>
      </c>
      <c r="AC448" t="s">
        <v>237</v>
      </c>
      <c r="AD448" t="str">
        <f t="shared" si="61"/>
        <v>Bachelors</v>
      </c>
      <c r="AE448" t="s">
        <v>39</v>
      </c>
      <c r="AF448" t="str">
        <f t="shared" si="62"/>
        <v>White or Caucasian</v>
      </c>
    </row>
    <row r="449" spans="1:32" x14ac:dyDescent="0.45">
      <c r="A449" t="s">
        <v>1352</v>
      </c>
      <c r="B449" t="s">
        <v>25</v>
      </c>
      <c r="C449" s="3" t="s">
        <v>1099</v>
      </c>
      <c r="D449" s="3">
        <f t="shared" si="54"/>
        <v>44871</v>
      </c>
      <c r="E449" t="s">
        <v>1353</v>
      </c>
      <c r="F449" s="4">
        <f t="shared" si="55"/>
        <v>0.88055555555555554</v>
      </c>
      <c r="G449" t="s">
        <v>568</v>
      </c>
      <c r="H449" t="s">
        <v>123</v>
      </c>
      <c r="I449" t="str">
        <f t="shared" si="56"/>
        <v>None</v>
      </c>
      <c r="J449" t="s">
        <v>43</v>
      </c>
      <c r="K449" t="s">
        <v>53</v>
      </c>
      <c r="L449">
        <f t="shared" si="57"/>
        <v>20</v>
      </c>
      <c r="M449" t="s">
        <v>103</v>
      </c>
      <c r="N449" t="str">
        <f t="shared" si="58"/>
        <v>Tech</v>
      </c>
      <c r="O449" t="s">
        <v>34</v>
      </c>
      <c r="P449" t="str">
        <f t="shared" si="59"/>
        <v>Python</v>
      </c>
      <c r="Q449">
        <v>2</v>
      </c>
      <c r="R449">
        <v>7</v>
      </c>
      <c r="S449">
        <v>9</v>
      </c>
      <c r="T449">
        <v>7</v>
      </c>
      <c r="U449">
        <v>3</v>
      </c>
      <c r="V449">
        <v>3</v>
      </c>
      <c r="W449" t="s">
        <v>69</v>
      </c>
      <c r="X449" t="s">
        <v>36</v>
      </c>
      <c r="Y449" t="s">
        <v>37</v>
      </c>
      <c r="Z449">
        <v>22</v>
      </c>
      <c r="AA449" t="s">
        <v>38</v>
      </c>
      <c r="AB449" t="str">
        <f t="shared" si="60"/>
        <v>United States</v>
      </c>
      <c r="AC449" t="s">
        <v>237</v>
      </c>
      <c r="AD449" t="str">
        <f t="shared" si="61"/>
        <v>Bachelors</v>
      </c>
      <c r="AE449" t="s">
        <v>39</v>
      </c>
      <c r="AF449" t="str">
        <f t="shared" si="62"/>
        <v>White or Caucasian</v>
      </c>
    </row>
    <row r="450" spans="1:32" x14ac:dyDescent="0.45">
      <c r="A450" t="s">
        <v>1354</v>
      </c>
      <c r="B450" t="s">
        <v>25</v>
      </c>
      <c r="C450" s="3" t="s">
        <v>1099</v>
      </c>
      <c r="D450" s="3">
        <f t="shared" si="54"/>
        <v>44871</v>
      </c>
      <c r="E450" t="s">
        <v>1355</v>
      </c>
      <c r="F450" s="4">
        <f t="shared" si="55"/>
        <v>0.92569444444444449</v>
      </c>
      <c r="G450" t="s">
        <v>822</v>
      </c>
      <c r="H450" t="s">
        <v>77</v>
      </c>
      <c r="I450" t="str">
        <f t="shared" si="56"/>
        <v>Data Scientist</v>
      </c>
      <c r="J450" t="s">
        <v>31</v>
      </c>
      <c r="K450" t="s">
        <v>87</v>
      </c>
      <c r="L450">
        <f t="shared" si="57"/>
        <v>95.5</v>
      </c>
      <c r="M450" t="s">
        <v>178</v>
      </c>
      <c r="N450" t="str">
        <f t="shared" si="58"/>
        <v>Other</v>
      </c>
      <c r="O450" t="s">
        <v>34</v>
      </c>
      <c r="P450" t="str">
        <f t="shared" si="59"/>
        <v>Python</v>
      </c>
      <c r="Q450">
        <v>6</v>
      </c>
      <c r="R450">
        <v>8</v>
      </c>
      <c r="S450">
        <v>10</v>
      </c>
      <c r="T450">
        <v>9</v>
      </c>
      <c r="U450">
        <v>6</v>
      </c>
      <c r="V450">
        <v>8</v>
      </c>
      <c r="W450" t="s">
        <v>85</v>
      </c>
      <c r="X450" t="s">
        <v>70</v>
      </c>
      <c r="Y450" t="s">
        <v>37</v>
      </c>
      <c r="Z450">
        <v>30</v>
      </c>
      <c r="AA450" t="s">
        <v>47</v>
      </c>
      <c r="AB450" t="str">
        <f t="shared" si="60"/>
        <v>Canada</v>
      </c>
      <c r="AC450" t="s">
        <v>240</v>
      </c>
      <c r="AD450" t="str">
        <f t="shared" si="61"/>
        <v>Masters</v>
      </c>
      <c r="AE450" t="s">
        <v>48</v>
      </c>
      <c r="AF450" t="str">
        <f t="shared" si="62"/>
        <v>Asian or Asian American</v>
      </c>
    </row>
    <row r="451" spans="1:32" x14ac:dyDescent="0.45">
      <c r="A451" t="s">
        <v>1356</v>
      </c>
      <c r="B451" t="s">
        <v>25</v>
      </c>
      <c r="C451" s="3" t="s">
        <v>1099</v>
      </c>
      <c r="D451" s="3">
        <f t="shared" ref="D451:D514" si="63">DATEVALUE(C451)</f>
        <v>44871</v>
      </c>
      <c r="E451" t="s">
        <v>1357</v>
      </c>
      <c r="F451" s="4">
        <f t="shared" ref="F451:F514" si="64">TIMEVALUE(E451)</f>
        <v>0.93541666666666667</v>
      </c>
      <c r="G451" t="s">
        <v>1358</v>
      </c>
      <c r="H451" t="s">
        <v>30</v>
      </c>
      <c r="I451" t="str">
        <f t="shared" ref="I451:I514" si="65">IF(LEFT(H451,5)="Other","Other",IF(ISNUMBER(SEARCH("None",H451)),"None",H451))</f>
        <v>Data Analyst</v>
      </c>
      <c r="J451" t="s">
        <v>31</v>
      </c>
      <c r="K451" t="s">
        <v>94</v>
      </c>
      <c r="L451">
        <f t="shared" ref="L451:L514" si="66">(VALUE(SUBSTITUTE(LEFT(K451,FIND("-",K451)-1),"k","")) + VALUE(SUBSTITUTE(MID(K451,FIND("-",K451)+1,LEN(K451)),"k","")))/2</f>
        <v>75.5</v>
      </c>
      <c r="M451" t="s">
        <v>555</v>
      </c>
      <c r="N451" t="str">
        <f t="shared" ref="N451:N514" si="67">IF(LEFT(M451,5)="Other","Other",IF(ISNUMBER(SEARCH("None",M451)),"None",M451))</f>
        <v>Other</v>
      </c>
      <c r="O451" t="s">
        <v>34</v>
      </c>
      <c r="P451" t="str">
        <f t="shared" ref="P451:P514" si="68">IF(LEFT(O451,5)="Other","Other",IF(ISNUMBER(SEARCH("None",O451)),"None",O451))</f>
        <v>Python</v>
      </c>
      <c r="Q451">
        <v>2</v>
      </c>
      <c r="R451">
        <v>8</v>
      </c>
      <c r="S451">
        <v>6</v>
      </c>
      <c r="T451">
        <v>1</v>
      </c>
      <c r="U451">
        <v>8</v>
      </c>
      <c r="V451">
        <v>10</v>
      </c>
      <c r="W451" t="s">
        <v>85</v>
      </c>
      <c r="X451" t="s">
        <v>70</v>
      </c>
      <c r="Y451" t="s">
        <v>37</v>
      </c>
      <c r="Z451">
        <v>36</v>
      </c>
      <c r="AA451" t="s">
        <v>38</v>
      </c>
      <c r="AB451" t="str">
        <f t="shared" ref="AB451:AB514" si="69">IF(LEFT(AA451,5)="Other","Other",IF(ISNUMBER(SEARCH("None",AA451)),"None",AA451))</f>
        <v>United States</v>
      </c>
      <c r="AC451" t="s">
        <v>240</v>
      </c>
      <c r="AD451" t="str">
        <f t="shared" ref="AD451:AD514" si="70">IF(AC451="","none",AC451)</f>
        <v>Masters</v>
      </c>
      <c r="AE451" t="s">
        <v>39</v>
      </c>
      <c r="AF451" t="str">
        <f t="shared" ref="AF451:AF514" si="71">IF(LEFT(AE451,5)="Other","Other",IF(ISNUMBER(SEARCH("None",AE451)),"None",AE451))</f>
        <v>White or Caucasian</v>
      </c>
    </row>
    <row r="452" spans="1:32" x14ac:dyDescent="0.45">
      <c r="A452" t="s">
        <v>1359</v>
      </c>
      <c r="B452" t="s">
        <v>25</v>
      </c>
      <c r="C452" s="3" t="s">
        <v>1099</v>
      </c>
      <c r="D452" s="3">
        <f t="shared" si="63"/>
        <v>44871</v>
      </c>
      <c r="E452" t="s">
        <v>1360</v>
      </c>
      <c r="F452" s="4">
        <f t="shared" si="64"/>
        <v>0.94652777777777775</v>
      </c>
      <c r="G452" t="s">
        <v>1361</v>
      </c>
      <c r="H452" t="s">
        <v>30</v>
      </c>
      <c r="I452" t="str">
        <f t="shared" si="65"/>
        <v>Data Analyst</v>
      </c>
      <c r="J452" t="s">
        <v>31</v>
      </c>
      <c r="K452" t="s">
        <v>94</v>
      </c>
      <c r="L452">
        <f t="shared" si="66"/>
        <v>75.5</v>
      </c>
      <c r="M452" t="s">
        <v>33</v>
      </c>
      <c r="N452" t="str">
        <f t="shared" si="67"/>
        <v>Healthcare</v>
      </c>
      <c r="O452" t="s">
        <v>46</v>
      </c>
      <c r="P452" t="str">
        <f t="shared" si="68"/>
        <v>R</v>
      </c>
      <c r="Q452">
        <v>4</v>
      </c>
      <c r="R452">
        <v>4</v>
      </c>
      <c r="S452">
        <v>5</v>
      </c>
      <c r="T452">
        <v>5</v>
      </c>
      <c r="U452">
        <v>4</v>
      </c>
      <c r="V452">
        <v>6</v>
      </c>
      <c r="W452" t="s">
        <v>85</v>
      </c>
      <c r="X452" t="s">
        <v>1362</v>
      </c>
      <c r="Y452" t="s">
        <v>65</v>
      </c>
      <c r="Z452">
        <v>30</v>
      </c>
      <c r="AA452" t="s">
        <v>38</v>
      </c>
      <c r="AB452" t="str">
        <f t="shared" si="69"/>
        <v>United States</v>
      </c>
      <c r="AC452" t="s">
        <v>240</v>
      </c>
      <c r="AD452" t="str">
        <f t="shared" si="70"/>
        <v>Masters</v>
      </c>
      <c r="AE452" t="s">
        <v>39</v>
      </c>
      <c r="AF452" t="str">
        <f t="shared" si="71"/>
        <v>White or Caucasian</v>
      </c>
    </row>
    <row r="453" spans="1:32" x14ac:dyDescent="0.45">
      <c r="A453" t="s">
        <v>1363</v>
      </c>
      <c r="B453" t="s">
        <v>25</v>
      </c>
      <c r="C453" s="3" t="s">
        <v>1099</v>
      </c>
      <c r="D453" s="3">
        <f t="shared" si="63"/>
        <v>44871</v>
      </c>
      <c r="E453" t="s">
        <v>1364</v>
      </c>
      <c r="F453" s="4">
        <f t="shared" si="64"/>
        <v>0.96111111111111114</v>
      </c>
      <c r="G453" t="s">
        <v>135</v>
      </c>
      <c r="H453" t="s">
        <v>77</v>
      </c>
      <c r="I453" t="str">
        <f t="shared" si="65"/>
        <v>Data Scientist</v>
      </c>
      <c r="J453" t="s">
        <v>31</v>
      </c>
      <c r="K453" t="s">
        <v>32</v>
      </c>
      <c r="L453">
        <f t="shared" si="66"/>
        <v>115.5</v>
      </c>
      <c r="M453" t="s">
        <v>45</v>
      </c>
      <c r="N453" t="str">
        <f t="shared" si="67"/>
        <v>Finance</v>
      </c>
      <c r="O453" t="s">
        <v>34</v>
      </c>
      <c r="P453" t="str">
        <f t="shared" si="68"/>
        <v>Python</v>
      </c>
      <c r="Q453">
        <v>9</v>
      </c>
      <c r="R453">
        <v>8</v>
      </c>
      <c r="S453">
        <v>10</v>
      </c>
      <c r="T453">
        <v>10</v>
      </c>
      <c r="U453">
        <v>10</v>
      </c>
      <c r="V453">
        <v>10</v>
      </c>
      <c r="W453" t="s">
        <v>69</v>
      </c>
      <c r="X453" t="s">
        <v>36</v>
      </c>
      <c r="Y453" t="s">
        <v>37</v>
      </c>
      <c r="Z453">
        <v>29</v>
      </c>
      <c r="AA453" t="s">
        <v>38</v>
      </c>
      <c r="AB453" t="str">
        <f t="shared" si="69"/>
        <v>United States</v>
      </c>
      <c r="AC453" t="s">
        <v>237</v>
      </c>
      <c r="AD453" t="str">
        <f t="shared" si="70"/>
        <v>Bachelors</v>
      </c>
      <c r="AE453" t="s">
        <v>48</v>
      </c>
      <c r="AF453" t="str">
        <f t="shared" si="71"/>
        <v>Asian or Asian American</v>
      </c>
    </row>
    <row r="454" spans="1:32" x14ac:dyDescent="0.45">
      <c r="A454" t="s">
        <v>1365</v>
      </c>
      <c r="B454" t="s">
        <v>25</v>
      </c>
      <c r="C454" s="3" t="s">
        <v>1099</v>
      </c>
      <c r="D454" s="3">
        <f t="shared" si="63"/>
        <v>44871</v>
      </c>
      <c r="E454" t="s">
        <v>1079</v>
      </c>
      <c r="F454" s="4">
        <f t="shared" si="64"/>
        <v>0.97083333333333333</v>
      </c>
      <c r="G454" t="s">
        <v>1366</v>
      </c>
      <c r="H454" t="s">
        <v>1367</v>
      </c>
      <c r="I454" t="str">
        <f t="shared" si="65"/>
        <v>Other</v>
      </c>
      <c r="J454" t="s">
        <v>31</v>
      </c>
      <c r="K454" t="s">
        <v>94</v>
      </c>
      <c r="L454">
        <f t="shared" si="66"/>
        <v>75.5</v>
      </c>
      <c r="M454" t="s">
        <v>1368</v>
      </c>
      <c r="N454" t="str">
        <f t="shared" si="67"/>
        <v>Other</v>
      </c>
      <c r="O454" t="s">
        <v>46</v>
      </c>
      <c r="P454" t="str">
        <f t="shared" si="68"/>
        <v>R</v>
      </c>
      <c r="Q454">
        <v>8</v>
      </c>
      <c r="R454">
        <v>10</v>
      </c>
      <c r="S454">
        <v>10</v>
      </c>
      <c r="T454">
        <v>7</v>
      </c>
      <c r="U454">
        <v>8</v>
      </c>
      <c r="V454">
        <v>5</v>
      </c>
      <c r="W454" t="s">
        <v>69</v>
      </c>
      <c r="X454" t="s">
        <v>1369</v>
      </c>
      <c r="Y454" t="s">
        <v>37</v>
      </c>
      <c r="Z454">
        <v>30</v>
      </c>
      <c r="AA454" t="s">
        <v>38</v>
      </c>
      <c r="AB454" t="str">
        <f t="shared" si="69"/>
        <v>United States</v>
      </c>
      <c r="AC454" t="s">
        <v>240</v>
      </c>
      <c r="AD454" t="str">
        <f t="shared" si="70"/>
        <v>Masters</v>
      </c>
      <c r="AE454" t="s">
        <v>39</v>
      </c>
      <c r="AF454" t="str">
        <f t="shared" si="71"/>
        <v>White or Caucasian</v>
      </c>
    </row>
    <row r="455" spans="1:32" x14ac:dyDescent="0.45">
      <c r="A455" t="s">
        <v>1370</v>
      </c>
      <c r="B455" t="s">
        <v>25</v>
      </c>
      <c r="C455" s="3" t="s">
        <v>1099</v>
      </c>
      <c r="D455" s="3">
        <f t="shared" si="63"/>
        <v>44871</v>
      </c>
      <c r="E455" t="s">
        <v>1371</v>
      </c>
      <c r="F455" s="4">
        <f t="shared" si="64"/>
        <v>0.98541666666666672</v>
      </c>
      <c r="G455" t="s">
        <v>283</v>
      </c>
      <c r="H455" t="s">
        <v>52</v>
      </c>
      <c r="I455" t="str">
        <f t="shared" si="65"/>
        <v>Data Engineer</v>
      </c>
      <c r="J455" t="s">
        <v>43</v>
      </c>
      <c r="K455" t="s">
        <v>44</v>
      </c>
      <c r="L455">
        <f t="shared" si="66"/>
        <v>53</v>
      </c>
      <c r="M455" t="s">
        <v>45</v>
      </c>
      <c r="N455" t="str">
        <f t="shared" si="67"/>
        <v>Finance</v>
      </c>
      <c r="O455" t="s">
        <v>34</v>
      </c>
      <c r="P455" t="str">
        <f t="shared" si="68"/>
        <v>Python</v>
      </c>
      <c r="Q455">
        <v>0</v>
      </c>
      <c r="R455">
        <v>6</v>
      </c>
      <c r="S455">
        <v>6</v>
      </c>
      <c r="T455">
        <v>6</v>
      </c>
      <c r="U455">
        <v>6</v>
      </c>
      <c r="V455">
        <v>6</v>
      </c>
      <c r="W455" t="s">
        <v>64</v>
      </c>
      <c r="X455" t="s">
        <v>70</v>
      </c>
      <c r="Y455" t="s">
        <v>37</v>
      </c>
      <c r="Z455">
        <v>24</v>
      </c>
      <c r="AA455" t="s">
        <v>38</v>
      </c>
      <c r="AB455" t="str">
        <f t="shared" si="69"/>
        <v>United States</v>
      </c>
      <c r="AC455" t="s">
        <v>237</v>
      </c>
      <c r="AD455" t="str">
        <f t="shared" si="70"/>
        <v>Bachelors</v>
      </c>
      <c r="AE455" t="s">
        <v>58</v>
      </c>
      <c r="AF455" t="str">
        <f t="shared" si="71"/>
        <v>Black or African American</v>
      </c>
    </row>
    <row r="456" spans="1:32" x14ac:dyDescent="0.45">
      <c r="A456" t="s">
        <v>1372</v>
      </c>
      <c r="B456" t="s">
        <v>25</v>
      </c>
      <c r="C456" s="3" t="s">
        <v>1373</v>
      </c>
      <c r="D456" s="3">
        <f t="shared" si="63"/>
        <v>44901</v>
      </c>
      <c r="E456" t="s">
        <v>1374</v>
      </c>
      <c r="F456" s="4">
        <f t="shared" si="64"/>
        <v>2.013888888888889E-2</v>
      </c>
      <c r="G456" t="s">
        <v>171</v>
      </c>
      <c r="H456" t="s">
        <v>52</v>
      </c>
      <c r="I456" t="str">
        <f t="shared" si="65"/>
        <v>Data Engineer</v>
      </c>
      <c r="J456" t="s">
        <v>31</v>
      </c>
      <c r="K456" t="s">
        <v>1184</v>
      </c>
      <c r="L456" t="e">
        <f t="shared" si="66"/>
        <v>#VALUE!</v>
      </c>
      <c r="M456" t="s">
        <v>103</v>
      </c>
      <c r="N456" t="str">
        <f t="shared" si="67"/>
        <v>Tech</v>
      </c>
      <c r="O456" t="s">
        <v>318</v>
      </c>
      <c r="P456" t="str">
        <f t="shared" si="68"/>
        <v>Other</v>
      </c>
      <c r="Q456">
        <v>3</v>
      </c>
      <c r="R456">
        <v>3</v>
      </c>
      <c r="S456">
        <v>4</v>
      </c>
      <c r="T456">
        <v>4</v>
      </c>
      <c r="U456">
        <v>3</v>
      </c>
      <c r="V456">
        <v>5</v>
      </c>
      <c r="W456" t="s">
        <v>85</v>
      </c>
      <c r="X456" t="s">
        <v>70</v>
      </c>
      <c r="Y456" t="s">
        <v>37</v>
      </c>
      <c r="Z456">
        <v>33</v>
      </c>
      <c r="AA456" t="s">
        <v>38</v>
      </c>
      <c r="AB456" t="str">
        <f t="shared" si="69"/>
        <v>United States</v>
      </c>
      <c r="AC456" t="s">
        <v>237</v>
      </c>
      <c r="AD456" t="str">
        <f t="shared" si="70"/>
        <v>Bachelors</v>
      </c>
      <c r="AE456" t="s">
        <v>48</v>
      </c>
      <c r="AF456" t="str">
        <f t="shared" si="71"/>
        <v>Asian or Asian American</v>
      </c>
    </row>
    <row r="457" spans="1:32" x14ac:dyDescent="0.45">
      <c r="A457" t="s">
        <v>1375</v>
      </c>
      <c r="B457" t="s">
        <v>25</v>
      </c>
      <c r="C457" s="3" t="s">
        <v>1373</v>
      </c>
      <c r="D457" s="3">
        <f t="shared" si="63"/>
        <v>44901</v>
      </c>
      <c r="E457" t="s">
        <v>1376</v>
      </c>
      <c r="F457" s="4">
        <f t="shared" si="64"/>
        <v>3.6111111111111108E-2</v>
      </c>
      <c r="G457" t="s">
        <v>171</v>
      </c>
      <c r="H457" t="s">
        <v>30</v>
      </c>
      <c r="I457" t="str">
        <f t="shared" si="65"/>
        <v>Data Analyst</v>
      </c>
      <c r="J457" t="s">
        <v>43</v>
      </c>
      <c r="K457" t="s">
        <v>32</v>
      </c>
      <c r="L457">
        <f t="shared" si="66"/>
        <v>115.5</v>
      </c>
      <c r="M457" t="s">
        <v>1377</v>
      </c>
      <c r="N457" t="str">
        <f t="shared" si="67"/>
        <v>Other</v>
      </c>
      <c r="O457" t="s">
        <v>34</v>
      </c>
      <c r="P457" t="str">
        <f t="shared" si="68"/>
        <v>Python</v>
      </c>
      <c r="Q457">
        <v>10</v>
      </c>
      <c r="R457">
        <v>10</v>
      </c>
      <c r="S457">
        <v>10</v>
      </c>
      <c r="T457">
        <v>10</v>
      </c>
      <c r="U457">
        <v>10</v>
      </c>
      <c r="V457">
        <v>6</v>
      </c>
      <c r="W457" t="s">
        <v>55</v>
      </c>
      <c r="X457" t="s">
        <v>70</v>
      </c>
      <c r="Y457" t="s">
        <v>65</v>
      </c>
      <c r="Z457">
        <v>42</v>
      </c>
      <c r="AA457" t="s">
        <v>38</v>
      </c>
      <c r="AB457" t="str">
        <f t="shared" si="69"/>
        <v>United States</v>
      </c>
      <c r="AC457" t="s">
        <v>237</v>
      </c>
      <c r="AD457" t="str">
        <f t="shared" si="70"/>
        <v>Bachelors</v>
      </c>
      <c r="AE457" t="s">
        <v>39</v>
      </c>
      <c r="AF457" t="str">
        <f t="shared" si="71"/>
        <v>White or Caucasian</v>
      </c>
    </row>
    <row r="458" spans="1:32" x14ac:dyDescent="0.45">
      <c r="A458" t="s">
        <v>1378</v>
      </c>
      <c r="B458" t="s">
        <v>25</v>
      </c>
      <c r="C458" s="3" t="s">
        <v>1373</v>
      </c>
      <c r="D458" s="3">
        <f t="shared" si="63"/>
        <v>44901</v>
      </c>
      <c r="E458" t="s">
        <v>1379</v>
      </c>
      <c r="F458" s="4">
        <f t="shared" si="64"/>
        <v>4.027777777777778E-2</v>
      </c>
      <c r="G458" t="s">
        <v>731</v>
      </c>
      <c r="H458" t="s">
        <v>30</v>
      </c>
      <c r="I458" t="str">
        <f t="shared" si="65"/>
        <v>Data Analyst</v>
      </c>
      <c r="J458" t="s">
        <v>31</v>
      </c>
      <c r="K458" t="s">
        <v>44</v>
      </c>
      <c r="L458">
        <f t="shared" si="66"/>
        <v>53</v>
      </c>
      <c r="M458" t="s">
        <v>33</v>
      </c>
      <c r="N458" t="str">
        <f t="shared" si="67"/>
        <v>Healthcare</v>
      </c>
      <c r="O458" t="s">
        <v>34</v>
      </c>
      <c r="P458" t="str">
        <f t="shared" si="68"/>
        <v>Python</v>
      </c>
      <c r="Q458">
        <v>1</v>
      </c>
      <c r="R458">
        <v>10</v>
      </c>
      <c r="S458">
        <v>10</v>
      </c>
      <c r="T458">
        <v>8</v>
      </c>
      <c r="U458">
        <v>10</v>
      </c>
      <c r="V458">
        <v>3</v>
      </c>
      <c r="W458" t="s">
        <v>85</v>
      </c>
      <c r="X458" t="s">
        <v>70</v>
      </c>
      <c r="Y458" t="s">
        <v>65</v>
      </c>
      <c r="Z458">
        <v>36</v>
      </c>
      <c r="AA458" t="s">
        <v>38</v>
      </c>
      <c r="AB458" t="str">
        <f t="shared" si="69"/>
        <v>United States</v>
      </c>
      <c r="AC458" t="s">
        <v>237</v>
      </c>
      <c r="AD458" t="str">
        <f t="shared" si="70"/>
        <v>Bachelors</v>
      </c>
      <c r="AE458" t="s">
        <v>39</v>
      </c>
      <c r="AF458" t="str">
        <f t="shared" si="71"/>
        <v>White or Caucasian</v>
      </c>
    </row>
    <row r="459" spans="1:32" x14ac:dyDescent="0.45">
      <c r="A459" t="s">
        <v>1380</v>
      </c>
      <c r="B459" t="s">
        <v>25</v>
      </c>
      <c r="C459" s="3" t="s">
        <v>1373</v>
      </c>
      <c r="D459" s="3">
        <f t="shared" si="63"/>
        <v>44901</v>
      </c>
      <c r="E459" t="s">
        <v>1381</v>
      </c>
      <c r="F459" s="4">
        <f t="shared" si="64"/>
        <v>4.7222222222222221E-2</v>
      </c>
      <c r="G459" t="s">
        <v>822</v>
      </c>
      <c r="H459" t="s">
        <v>30</v>
      </c>
      <c r="I459" t="str">
        <f t="shared" si="65"/>
        <v>Data Analyst</v>
      </c>
      <c r="J459" t="s">
        <v>31</v>
      </c>
      <c r="K459" t="s">
        <v>44</v>
      </c>
      <c r="L459">
        <f t="shared" si="66"/>
        <v>53</v>
      </c>
      <c r="M459" t="s">
        <v>1382</v>
      </c>
      <c r="N459" t="str">
        <f t="shared" si="67"/>
        <v>Other</v>
      </c>
      <c r="O459" t="s">
        <v>34</v>
      </c>
      <c r="P459" t="str">
        <f t="shared" si="68"/>
        <v>Python</v>
      </c>
      <c r="Q459">
        <v>2</v>
      </c>
      <c r="R459">
        <v>3</v>
      </c>
      <c r="S459">
        <v>7</v>
      </c>
      <c r="T459">
        <v>6</v>
      </c>
      <c r="U459">
        <v>5</v>
      </c>
      <c r="V459">
        <v>6</v>
      </c>
      <c r="W459" t="s">
        <v>85</v>
      </c>
      <c r="X459" t="s">
        <v>70</v>
      </c>
      <c r="Y459" t="s">
        <v>37</v>
      </c>
      <c r="Z459">
        <v>27</v>
      </c>
      <c r="AA459" t="s">
        <v>38</v>
      </c>
      <c r="AB459" t="str">
        <f t="shared" si="69"/>
        <v>United States</v>
      </c>
      <c r="AC459" t="s">
        <v>237</v>
      </c>
      <c r="AD459" t="str">
        <f t="shared" si="70"/>
        <v>Bachelors</v>
      </c>
      <c r="AE459" t="s">
        <v>39</v>
      </c>
      <c r="AF459" t="str">
        <f t="shared" si="71"/>
        <v>White or Caucasian</v>
      </c>
    </row>
    <row r="460" spans="1:32" x14ac:dyDescent="0.45">
      <c r="A460" t="s">
        <v>1383</v>
      </c>
      <c r="B460" t="s">
        <v>25</v>
      </c>
      <c r="C460" s="3" t="s">
        <v>1373</v>
      </c>
      <c r="D460" s="3">
        <f t="shared" si="63"/>
        <v>44901</v>
      </c>
      <c r="E460" t="s">
        <v>1384</v>
      </c>
      <c r="F460" s="4">
        <f t="shared" si="64"/>
        <v>0.11319444444444444</v>
      </c>
      <c r="G460" t="s">
        <v>135</v>
      </c>
      <c r="H460" t="s">
        <v>30</v>
      </c>
      <c r="I460" t="str">
        <f t="shared" si="65"/>
        <v>Data Analyst</v>
      </c>
      <c r="J460" t="s">
        <v>43</v>
      </c>
      <c r="K460" t="s">
        <v>53</v>
      </c>
      <c r="L460">
        <f t="shared" si="66"/>
        <v>20</v>
      </c>
      <c r="M460" t="s">
        <v>103</v>
      </c>
      <c r="N460" t="str">
        <f t="shared" si="67"/>
        <v>Tech</v>
      </c>
      <c r="O460" t="s">
        <v>34</v>
      </c>
      <c r="P460" t="str">
        <f t="shared" si="68"/>
        <v>Python</v>
      </c>
      <c r="Q460">
        <v>8</v>
      </c>
      <c r="R460">
        <v>7</v>
      </c>
      <c r="S460">
        <v>8</v>
      </c>
      <c r="T460">
        <v>7</v>
      </c>
      <c r="U460">
        <v>7</v>
      </c>
      <c r="V460">
        <v>9</v>
      </c>
      <c r="W460" t="s">
        <v>55</v>
      </c>
      <c r="X460" t="s">
        <v>1385</v>
      </c>
      <c r="Y460" t="s">
        <v>65</v>
      </c>
      <c r="Z460">
        <v>21</v>
      </c>
      <c r="AA460" t="s">
        <v>147</v>
      </c>
      <c r="AB460" t="str">
        <f t="shared" si="69"/>
        <v>India</v>
      </c>
      <c r="AC460" t="s">
        <v>237</v>
      </c>
      <c r="AD460" t="str">
        <f t="shared" si="70"/>
        <v>Bachelors</v>
      </c>
      <c r="AE460" t="s">
        <v>48</v>
      </c>
      <c r="AF460" t="str">
        <f t="shared" si="71"/>
        <v>Asian or Asian American</v>
      </c>
    </row>
    <row r="461" spans="1:32" x14ac:dyDescent="0.45">
      <c r="A461" t="s">
        <v>1386</v>
      </c>
      <c r="B461" t="s">
        <v>25</v>
      </c>
      <c r="C461" s="3" t="s">
        <v>1373</v>
      </c>
      <c r="D461" s="3">
        <f t="shared" si="63"/>
        <v>44901</v>
      </c>
      <c r="E461" t="s">
        <v>1387</v>
      </c>
      <c r="F461" s="4">
        <f t="shared" si="64"/>
        <v>0.11944444444444445</v>
      </c>
      <c r="G461" t="s">
        <v>615</v>
      </c>
      <c r="H461" t="s">
        <v>30</v>
      </c>
      <c r="I461" t="str">
        <f t="shared" si="65"/>
        <v>Data Analyst</v>
      </c>
      <c r="J461" t="s">
        <v>31</v>
      </c>
      <c r="K461" t="s">
        <v>44</v>
      </c>
      <c r="L461">
        <f t="shared" si="66"/>
        <v>53</v>
      </c>
      <c r="M461" t="s">
        <v>33</v>
      </c>
      <c r="N461" t="str">
        <f t="shared" si="67"/>
        <v>Healthcare</v>
      </c>
      <c r="O461" t="s">
        <v>34</v>
      </c>
      <c r="P461" t="str">
        <f t="shared" si="68"/>
        <v>Python</v>
      </c>
      <c r="Q461">
        <v>8</v>
      </c>
      <c r="R461">
        <v>5</v>
      </c>
      <c r="S461">
        <v>8</v>
      </c>
      <c r="T461">
        <v>8</v>
      </c>
      <c r="U461">
        <v>5</v>
      </c>
      <c r="V461">
        <v>10</v>
      </c>
      <c r="W461" t="s">
        <v>69</v>
      </c>
      <c r="X461" t="s">
        <v>36</v>
      </c>
      <c r="Y461" t="s">
        <v>65</v>
      </c>
      <c r="Z461">
        <v>34</v>
      </c>
      <c r="AA461" t="s">
        <v>558</v>
      </c>
      <c r="AB461" t="str">
        <f t="shared" si="69"/>
        <v>Other</v>
      </c>
      <c r="AC461" t="s">
        <v>240</v>
      </c>
      <c r="AD461" t="str">
        <f t="shared" si="70"/>
        <v>Masters</v>
      </c>
      <c r="AE461" t="s">
        <v>39</v>
      </c>
      <c r="AF461" t="str">
        <f t="shared" si="71"/>
        <v>White or Caucasian</v>
      </c>
    </row>
    <row r="462" spans="1:32" x14ac:dyDescent="0.45">
      <c r="A462" t="s">
        <v>1388</v>
      </c>
      <c r="B462" t="s">
        <v>25</v>
      </c>
      <c r="C462" s="3" t="s">
        <v>1373</v>
      </c>
      <c r="D462" s="3">
        <f t="shared" si="63"/>
        <v>44901</v>
      </c>
      <c r="E462" t="s">
        <v>1389</v>
      </c>
      <c r="F462" s="4">
        <f t="shared" si="64"/>
        <v>0.12708333333333333</v>
      </c>
      <c r="G462" t="s">
        <v>154</v>
      </c>
      <c r="H462" t="s">
        <v>123</v>
      </c>
      <c r="I462" t="str">
        <f t="shared" si="65"/>
        <v>None</v>
      </c>
      <c r="J462" t="s">
        <v>43</v>
      </c>
      <c r="K462" t="s">
        <v>53</v>
      </c>
      <c r="L462">
        <f t="shared" si="66"/>
        <v>20</v>
      </c>
      <c r="M462" t="s">
        <v>108</v>
      </c>
      <c r="N462" t="str">
        <f t="shared" si="67"/>
        <v>Education</v>
      </c>
      <c r="O462" t="s">
        <v>34</v>
      </c>
      <c r="P462" t="str">
        <f t="shared" si="68"/>
        <v>Python</v>
      </c>
      <c r="Q462">
        <v>2</v>
      </c>
      <c r="R462">
        <v>5</v>
      </c>
      <c r="S462">
        <v>5</v>
      </c>
      <c r="T462">
        <v>5</v>
      </c>
      <c r="U462">
        <v>2</v>
      </c>
      <c r="V462">
        <v>4</v>
      </c>
      <c r="W462" t="s">
        <v>69</v>
      </c>
      <c r="X462" t="s">
        <v>70</v>
      </c>
      <c r="Y462" t="s">
        <v>37</v>
      </c>
      <c r="Z462">
        <v>27</v>
      </c>
      <c r="AA462" t="s">
        <v>319</v>
      </c>
      <c r="AB462" t="str">
        <f t="shared" si="69"/>
        <v>Other</v>
      </c>
      <c r="AC462" t="s">
        <v>237</v>
      </c>
      <c r="AD462" t="str">
        <f t="shared" si="70"/>
        <v>Bachelors</v>
      </c>
      <c r="AE462" t="s">
        <v>39</v>
      </c>
      <c r="AF462" t="str">
        <f t="shared" si="71"/>
        <v>White or Caucasian</v>
      </c>
    </row>
    <row r="463" spans="1:32" x14ac:dyDescent="0.45">
      <c r="A463" t="s">
        <v>1390</v>
      </c>
      <c r="B463" t="s">
        <v>25</v>
      </c>
      <c r="C463" s="3" t="s">
        <v>1373</v>
      </c>
      <c r="D463" s="3">
        <f t="shared" si="63"/>
        <v>44901</v>
      </c>
      <c r="E463" t="s">
        <v>1391</v>
      </c>
      <c r="F463" s="4">
        <f t="shared" si="64"/>
        <v>0.15625</v>
      </c>
      <c r="G463" t="s">
        <v>254</v>
      </c>
      <c r="H463" t="s">
        <v>1392</v>
      </c>
      <c r="I463" t="str">
        <f t="shared" si="65"/>
        <v>Other</v>
      </c>
      <c r="J463" t="s">
        <v>31</v>
      </c>
      <c r="K463" t="s">
        <v>53</v>
      </c>
      <c r="L463">
        <f t="shared" si="66"/>
        <v>20</v>
      </c>
      <c r="M463" t="s">
        <v>103</v>
      </c>
      <c r="N463" t="str">
        <f t="shared" si="67"/>
        <v>Tech</v>
      </c>
      <c r="O463" t="s">
        <v>34</v>
      </c>
      <c r="P463" t="str">
        <f t="shared" si="68"/>
        <v>Python</v>
      </c>
      <c r="Q463">
        <v>7</v>
      </c>
      <c r="R463">
        <v>8</v>
      </c>
      <c r="S463">
        <v>8</v>
      </c>
      <c r="T463">
        <v>8</v>
      </c>
      <c r="U463">
        <v>8</v>
      </c>
      <c r="V463">
        <v>7</v>
      </c>
      <c r="W463" t="s">
        <v>85</v>
      </c>
      <c r="X463" t="s">
        <v>114</v>
      </c>
      <c r="Y463" t="s">
        <v>37</v>
      </c>
      <c r="Z463">
        <v>27</v>
      </c>
      <c r="AA463" t="s">
        <v>289</v>
      </c>
      <c r="AB463" t="str">
        <f t="shared" si="69"/>
        <v>Other</v>
      </c>
      <c r="AC463" t="s">
        <v>240</v>
      </c>
      <c r="AD463" t="str">
        <f t="shared" si="70"/>
        <v>Masters</v>
      </c>
      <c r="AE463" t="s">
        <v>39</v>
      </c>
      <c r="AF463" t="str">
        <f t="shared" si="71"/>
        <v>White or Caucasian</v>
      </c>
    </row>
    <row r="464" spans="1:32" x14ac:dyDescent="0.45">
      <c r="A464" t="s">
        <v>1393</v>
      </c>
      <c r="B464" t="s">
        <v>25</v>
      </c>
      <c r="C464" s="3" t="s">
        <v>1373</v>
      </c>
      <c r="D464" s="3">
        <f t="shared" si="63"/>
        <v>44901</v>
      </c>
      <c r="E464" t="s">
        <v>1394</v>
      </c>
      <c r="F464" s="4">
        <f t="shared" si="64"/>
        <v>0.16597222222222222</v>
      </c>
      <c r="G464" t="s">
        <v>736</v>
      </c>
      <c r="H464" t="s">
        <v>123</v>
      </c>
      <c r="I464" t="str">
        <f t="shared" si="65"/>
        <v>None</v>
      </c>
      <c r="J464" t="s">
        <v>43</v>
      </c>
      <c r="K464" t="s">
        <v>53</v>
      </c>
      <c r="L464">
        <f t="shared" si="66"/>
        <v>20</v>
      </c>
      <c r="M464" t="s">
        <v>108</v>
      </c>
      <c r="N464" t="str">
        <f t="shared" si="67"/>
        <v>Education</v>
      </c>
      <c r="O464" t="s">
        <v>46</v>
      </c>
      <c r="P464" t="str">
        <f t="shared" si="68"/>
        <v>R</v>
      </c>
      <c r="Q464">
        <v>1</v>
      </c>
      <c r="R464">
        <v>1</v>
      </c>
      <c r="S464">
        <v>2</v>
      </c>
      <c r="T464">
        <v>1</v>
      </c>
      <c r="U464">
        <v>0</v>
      </c>
      <c r="V464">
        <v>3</v>
      </c>
      <c r="W464" t="s">
        <v>85</v>
      </c>
      <c r="X464" t="s">
        <v>56</v>
      </c>
      <c r="Y464" t="s">
        <v>37</v>
      </c>
      <c r="Z464">
        <v>30</v>
      </c>
      <c r="AA464" t="s">
        <v>132</v>
      </c>
      <c r="AB464" t="str">
        <f t="shared" si="69"/>
        <v>Other</v>
      </c>
      <c r="AC464" t="s">
        <v>262</v>
      </c>
      <c r="AD464" t="str">
        <f t="shared" si="70"/>
        <v>Associates</v>
      </c>
      <c r="AE464" t="s">
        <v>648</v>
      </c>
      <c r="AF464" t="str">
        <f t="shared" si="71"/>
        <v>Other</v>
      </c>
    </row>
    <row r="465" spans="1:32" x14ac:dyDescent="0.45">
      <c r="A465" t="s">
        <v>1395</v>
      </c>
      <c r="B465" t="s">
        <v>25</v>
      </c>
      <c r="C465" s="3" t="s">
        <v>1373</v>
      </c>
      <c r="D465" s="3">
        <f t="shared" si="63"/>
        <v>44901</v>
      </c>
      <c r="E465" t="s">
        <v>1396</v>
      </c>
      <c r="F465" s="4">
        <f t="shared" si="64"/>
        <v>0.16666666666666666</v>
      </c>
      <c r="G465" t="s">
        <v>93</v>
      </c>
      <c r="H465" t="s">
        <v>30</v>
      </c>
      <c r="I465" t="str">
        <f t="shared" si="65"/>
        <v>Data Analyst</v>
      </c>
      <c r="J465" t="s">
        <v>31</v>
      </c>
      <c r="K465" t="s">
        <v>94</v>
      </c>
      <c r="L465">
        <f t="shared" si="66"/>
        <v>75.5</v>
      </c>
      <c r="M465" t="s">
        <v>1397</v>
      </c>
      <c r="N465" t="str">
        <f t="shared" si="67"/>
        <v>Other</v>
      </c>
      <c r="O465" t="s">
        <v>84</v>
      </c>
      <c r="P465" t="str">
        <f t="shared" si="68"/>
        <v>Other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2</v>
      </c>
      <c r="W465" t="s">
        <v>69</v>
      </c>
      <c r="X465" t="s">
        <v>70</v>
      </c>
      <c r="Y465" t="s">
        <v>65</v>
      </c>
      <c r="Z465">
        <v>33</v>
      </c>
      <c r="AA465" t="s">
        <v>38</v>
      </c>
      <c r="AB465" t="str">
        <f t="shared" si="69"/>
        <v>United States</v>
      </c>
      <c r="AC465" t="s">
        <v>237</v>
      </c>
      <c r="AD465" t="str">
        <f t="shared" si="70"/>
        <v>Bachelors</v>
      </c>
      <c r="AE465" t="s">
        <v>39</v>
      </c>
      <c r="AF465" t="str">
        <f t="shared" si="71"/>
        <v>White or Caucasian</v>
      </c>
    </row>
    <row r="466" spans="1:32" x14ac:dyDescent="0.45">
      <c r="A466" t="s">
        <v>1398</v>
      </c>
      <c r="B466" t="s">
        <v>25</v>
      </c>
      <c r="C466" s="3" t="s">
        <v>1373</v>
      </c>
      <c r="D466" s="3">
        <f t="shared" si="63"/>
        <v>44901</v>
      </c>
      <c r="E466" t="s">
        <v>1399</v>
      </c>
      <c r="F466" s="4">
        <f t="shared" si="64"/>
        <v>0.17847222222222223</v>
      </c>
      <c r="G466" t="s">
        <v>229</v>
      </c>
      <c r="H466" t="s">
        <v>30</v>
      </c>
      <c r="I466" t="str">
        <f t="shared" si="65"/>
        <v>Data Analyst</v>
      </c>
      <c r="J466" t="s">
        <v>31</v>
      </c>
      <c r="K466" t="s">
        <v>87</v>
      </c>
      <c r="L466">
        <f t="shared" si="66"/>
        <v>95.5</v>
      </c>
      <c r="M466" t="s">
        <v>45</v>
      </c>
      <c r="N466" t="str">
        <f t="shared" si="67"/>
        <v>Finance</v>
      </c>
      <c r="O466" t="s">
        <v>34</v>
      </c>
      <c r="P466" t="str">
        <f t="shared" si="68"/>
        <v>Python</v>
      </c>
      <c r="Q466">
        <v>3</v>
      </c>
      <c r="R466">
        <v>3</v>
      </c>
      <c r="S466">
        <v>4</v>
      </c>
      <c r="T466">
        <v>4</v>
      </c>
      <c r="U466">
        <v>4</v>
      </c>
      <c r="V466">
        <v>4</v>
      </c>
      <c r="W466" t="s">
        <v>69</v>
      </c>
      <c r="X466" t="s">
        <v>114</v>
      </c>
      <c r="Y466" t="s">
        <v>37</v>
      </c>
      <c r="Z466">
        <v>47</v>
      </c>
      <c r="AA466" t="s">
        <v>147</v>
      </c>
      <c r="AB466" t="str">
        <f t="shared" si="69"/>
        <v>India</v>
      </c>
      <c r="AC466" t="s">
        <v>240</v>
      </c>
      <c r="AD466" t="str">
        <f t="shared" si="70"/>
        <v>Masters</v>
      </c>
      <c r="AE466" t="s">
        <v>1400</v>
      </c>
      <c r="AF466" t="str">
        <f t="shared" si="71"/>
        <v>American Indian or Alaska Native</v>
      </c>
    </row>
    <row r="467" spans="1:32" x14ac:dyDescent="0.45">
      <c r="A467" t="s">
        <v>1401</v>
      </c>
      <c r="B467" t="s">
        <v>25</v>
      </c>
      <c r="C467" s="3" t="s">
        <v>1373</v>
      </c>
      <c r="D467" s="3">
        <f t="shared" si="63"/>
        <v>44901</v>
      </c>
      <c r="E467" t="s">
        <v>1402</v>
      </c>
      <c r="F467" s="4">
        <f t="shared" si="64"/>
        <v>0.18819444444444444</v>
      </c>
      <c r="G467" t="s">
        <v>157</v>
      </c>
      <c r="H467" t="s">
        <v>30</v>
      </c>
      <c r="I467" t="str">
        <f t="shared" si="65"/>
        <v>Data Analyst</v>
      </c>
      <c r="J467" t="s">
        <v>31</v>
      </c>
      <c r="K467" t="s">
        <v>94</v>
      </c>
      <c r="L467">
        <f t="shared" si="66"/>
        <v>75.5</v>
      </c>
      <c r="M467" t="s">
        <v>83</v>
      </c>
      <c r="N467" t="str">
        <f t="shared" si="67"/>
        <v>Other</v>
      </c>
      <c r="O467" t="s">
        <v>84</v>
      </c>
      <c r="P467" t="str">
        <f t="shared" si="68"/>
        <v>Other</v>
      </c>
      <c r="Q467">
        <v>4</v>
      </c>
      <c r="R467">
        <v>5</v>
      </c>
      <c r="S467">
        <v>4</v>
      </c>
      <c r="T467">
        <v>5</v>
      </c>
      <c r="U467">
        <v>4</v>
      </c>
      <c r="V467">
        <v>4</v>
      </c>
      <c r="W467" t="s">
        <v>69</v>
      </c>
      <c r="X467" t="s">
        <v>1403</v>
      </c>
      <c r="Y467" t="s">
        <v>37</v>
      </c>
      <c r="Z467">
        <v>27</v>
      </c>
      <c r="AA467" t="s">
        <v>38</v>
      </c>
      <c r="AB467" t="str">
        <f t="shared" si="69"/>
        <v>United States</v>
      </c>
      <c r="AC467" t="s">
        <v>240</v>
      </c>
      <c r="AD467" t="str">
        <f t="shared" si="70"/>
        <v>Masters</v>
      </c>
      <c r="AE467" t="s">
        <v>48</v>
      </c>
      <c r="AF467" t="str">
        <f t="shared" si="71"/>
        <v>Asian or Asian American</v>
      </c>
    </row>
    <row r="468" spans="1:32" x14ac:dyDescent="0.45">
      <c r="A468" t="s">
        <v>1404</v>
      </c>
      <c r="B468" t="s">
        <v>25</v>
      </c>
      <c r="C468" s="3" t="s">
        <v>1373</v>
      </c>
      <c r="D468" s="3">
        <f t="shared" si="63"/>
        <v>44901</v>
      </c>
      <c r="E468" t="s">
        <v>1405</v>
      </c>
      <c r="F468" s="4">
        <f t="shared" si="64"/>
        <v>0.20277777777777778</v>
      </c>
      <c r="G468" t="s">
        <v>1024</v>
      </c>
      <c r="H468" t="s">
        <v>30</v>
      </c>
      <c r="I468" t="str">
        <f t="shared" si="65"/>
        <v>Data Analyst</v>
      </c>
      <c r="J468" t="s">
        <v>43</v>
      </c>
      <c r="K468" t="s">
        <v>53</v>
      </c>
      <c r="L468">
        <f t="shared" si="66"/>
        <v>20</v>
      </c>
      <c r="M468" t="s">
        <v>33</v>
      </c>
      <c r="N468" t="str">
        <f t="shared" si="67"/>
        <v>Healthcare</v>
      </c>
      <c r="O468" t="s">
        <v>34</v>
      </c>
      <c r="P468" t="str">
        <f t="shared" si="68"/>
        <v>Python</v>
      </c>
      <c r="Q468">
        <v>6</v>
      </c>
      <c r="R468">
        <v>7</v>
      </c>
      <c r="S468">
        <v>8</v>
      </c>
      <c r="T468">
        <v>7</v>
      </c>
      <c r="U468">
        <v>6</v>
      </c>
      <c r="V468">
        <v>7</v>
      </c>
      <c r="W468" t="s">
        <v>85</v>
      </c>
      <c r="X468" t="s">
        <v>70</v>
      </c>
      <c r="Y468" t="s">
        <v>37</v>
      </c>
      <c r="Z468">
        <v>26</v>
      </c>
      <c r="AA468" t="s">
        <v>147</v>
      </c>
      <c r="AB468" t="str">
        <f t="shared" si="69"/>
        <v>India</v>
      </c>
      <c r="AC468" t="s">
        <v>237</v>
      </c>
      <c r="AD468" t="str">
        <f t="shared" si="70"/>
        <v>Bachelors</v>
      </c>
      <c r="AE468" t="s">
        <v>48</v>
      </c>
      <c r="AF468" t="str">
        <f t="shared" si="71"/>
        <v>Asian or Asian American</v>
      </c>
    </row>
    <row r="469" spans="1:32" x14ac:dyDescent="0.45">
      <c r="A469" t="s">
        <v>1406</v>
      </c>
      <c r="B469" t="s">
        <v>25</v>
      </c>
      <c r="C469" s="3" t="s">
        <v>1373</v>
      </c>
      <c r="D469" s="3">
        <f t="shared" si="63"/>
        <v>44901</v>
      </c>
      <c r="E469" t="s">
        <v>1407</v>
      </c>
      <c r="F469" s="4">
        <f t="shared" si="64"/>
        <v>0.26597222222222222</v>
      </c>
      <c r="G469" t="s">
        <v>333</v>
      </c>
      <c r="H469" t="s">
        <v>30</v>
      </c>
      <c r="I469" t="str">
        <f t="shared" si="65"/>
        <v>Data Analyst</v>
      </c>
      <c r="J469" t="s">
        <v>43</v>
      </c>
      <c r="K469" t="s">
        <v>53</v>
      </c>
      <c r="L469">
        <f t="shared" si="66"/>
        <v>20</v>
      </c>
      <c r="M469" t="s">
        <v>45</v>
      </c>
      <c r="N469" t="str">
        <f t="shared" si="67"/>
        <v>Finance</v>
      </c>
      <c r="O469" t="s">
        <v>34</v>
      </c>
      <c r="P469" t="str">
        <f t="shared" si="68"/>
        <v>Python</v>
      </c>
      <c r="Q469">
        <v>2</v>
      </c>
      <c r="R469">
        <v>3</v>
      </c>
      <c r="S469">
        <v>2</v>
      </c>
      <c r="T469">
        <v>5</v>
      </c>
      <c r="U469">
        <v>5</v>
      </c>
      <c r="V469">
        <v>6</v>
      </c>
      <c r="W469" t="s">
        <v>85</v>
      </c>
      <c r="X469" t="s">
        <v>36</v>
      </c>
      <c r="Y469" t="s">
        <v>65</v>
      </c>
      <c r="Z469">
        <v>35</v>
      </c>
      <c r="AA469" t="s">
        <v>147</v>
      </c>
      <c r="AB469" t="str">
        <f t="shared" si="69"/>
        <v>India</v>
      </c>
      <c r="AC469" t="s">
        <v>240</v>
      </c>
      <c r="AD469" t="str">
        <f t="shared" si="70"/>
        <v>Masters</v>
      </c>
      <c r="AE469" t="s">
        <v>48</v>
      </c>
      <c r="AF469" t="str">
        <f t="shared" si="71"/>
        <v>Asian or Asian American</v>
      </c>
    </row>
    <row r="470" spans="1:32" x14ac:dyDescent="0.45">
      <c r="A470" t="s">
        <v>1408</v>
      </c>
      <c r="B470" t="s">
        <v>25</v>
      </c>
      <c r="C470" s="3" t="s">
        <v>1373</v>
      </c>
      <c r="D470" s="3">
        <f t="shared" si="63"/>
        <v>44901</v>
      </c>
      <c r="E470" t="s">
        <v>1409</v>
      </c>
      <c r="F470" s="4">
        <f t="shared" si="64"/>
        <v>0.28611111111111109</v>
      </c>
      <c r="G470" t="s">
        <v>215</v>
      </c>
      <c r="H470" t="s">
        <v>30</v>
      </c>
      <c r="I470" t="str">
        <f t="shared" si="65"/>
        <v>Data Analyst</v>
      </c>
      <c r="J470" t="s">
        <v>31</v>
      </c>
      <c r="K470" t="s">
        <v>87</v>
      </c>
      <c r="L470">
        <f t="shared" si="66"/>
        <v>95.5</v>
      </c>
      <c r="M470" t="s">
        <v>108</v>
      </c>
      <c r="N470" t="str">
        <f t="shared" si="67"/>
        <v>Education</v>
      </c>
      <c r="O470" t="s">
        <v>34</v>
      </c>
      <c r="P470" t="str">
        <f t="shared" si="68"/>
        <v>Python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 t="s">
        <v>85</v>
      </c>
      <c r="X470" t="s">
        <v>114</v>
      </c>
      <c r="Y470" t="s">
        <v>37</v>
      </c>
      <c r="Z470">
        <v>31</v>
      </c>
      <c r="AA470" t="s">
        <v>38</v>
      </c>
      <c r="AB470" t="str">
        <f t="shared" si="69"/>
        <v>United States</v>
      </c>
      <c r="AC470" t="s">
        <v>240</v>
      </c>
      <c r="AD470" t="str">
        <f t="shared" si="70"/>
        <v>Masters</v>
      </c>
      <c r="AE470" t="s">
        <v>91</v>
      </c>
      <c r="AF470" t="str">
        <f t="shared" si="71"/>
        <v>Hispanic or Latino</v>
      </c>
    </row>
    <row r="471" spans="1:32" x14ac:dyDescent="0.45">
      <c r="A471" t="s">
        <v>1410</v>
      </c>
      <c r="B471" t="s">
        <v>25</v>
      </c>
      <c r="C471" s="3" t="s">
        <v>1373</v>
      </c>
      <c r="D471" s="3">
        <f t="shared" si="63"/>
        <v>44901</v>
      </c>
      <c r="E471" t="s">
        <v>1411</v>
      </c>
      <c r="F471" s="4">
        <f t="shared" si="64"/>
        <v>0.30277777777777776</v>
      </c>
      <c r="G471" t="s">
        <v>1412</v>
      </c>
      <c r="H471" t="s">
        <v>30</v>
      </c>
      <c r="I471" t="str">
        <f t="shared" si="65"/>
        <v>Data Analyst</v>
      </c>
      <c r="J471" t="s">
        <v>31</v>
      </c>
      <c r="K471" t="s">
        <v>53</v>
      </c>
      <c r="L471">
        <f t="shared" si="66"/>
        <v>20</v>
      </c>
      <c r="M471" t="s">
        <v>108</v>
      </c>
      <c r="N471" t="str">
        <f t="shared" si="67"/>
        <v>Education</v>
      </c>
      <c r="O471" t="s">
        <v>34</v>
      </c>
      <c r="P471" t="str">
        <f t="shared" si="68"/>
        <v>Python</v>
      </c>
      <c r="Q471">
        <v>2</v>
      </c>
      <c r="R471">
        <v>1</v>
      </c>
      <c r="S471">
        <v>2</v>
      </c>
      <c r="T471">
        <v>3</v>
      </c>
      <c r="U471">
        <v>4</v>
      </c>
      <c r="V471">
        <v>3</v>
      </c>
      <c r="W471" t="s">
        <v>69</v>
      </c>
      <c r="X471" t="s">
        <v>36</v>
      </c>
      <c r="Y471" t="s">
        <v>37</v>
      </c>
      <c r="Z471">
        <v>25</v>
      </c>
      <c r="AA471" t="s">
        <v>1413</v>
      </c>
      <c r="AB471" t="str">
        <f t="shared" si="69"/>
        <v>Other</v>
      </c>
      <c r="AC471" t="s">
        <v>237</v>
      </c>
      <c r="AD471" t="str">
        <f t="shared" si="70"/>
        <v>Bachelors</v>
      </c>
      <c r="AE471" t="s">
        <v>58</v>
      </c>
      <c r="AF471" t="str">
        <f t="shared" si="71"/>
        <v>Black or African American</v>
      </c>
    </row>
    <row r="472" spans="1:32" x14ac:dyDescent="0.45">
      <c r="A472" t="s">
        <v>1414</v>
      </c>
      <c r="B472" t="s">
        <v>25</v>
      </c>
      <c r="C472" s="3" t="s">
        <v>1373</v>
      </c>
      <c r="D472" s="3">
        <f t="shared" si="63"/>
        <v>44901</v>
      </c>
      <c r="E472" t="s">
        <v>1415</v>
      </c>
      <c r="F472" s="4">
        <f t="shared" si="64"/>
        <v>0.30416666666666664</v>
      </c>
      <c r="G472" t="s">
        <v>801</v>
      </c>
      <c r="H472" t="s">
        <v>52</v>
      </c>
      <c r="I472" t="str">
        <f t="shared" si="65"/>
        <v>Data Engineer</v>
      </c>
      <c r="J472" t="s">
        <v>31</v>
      </c>
      <c r="K472" t="s">
        <v>94</v>
      </c>
      <c r="L472">
        <f t="shared" si="66"/>
        <v>75.5</v>
      </c>
      <c r="M472" t="s">
        <v>712</v>
      </c>
      <c r="N472" t="str">
        <f t="shared" si="67"/>
        <v>Real Estate</v>
      </c>
      <c r="O472" t="s">
        <v>34</v>
      </c>
      <c r="P472" t="str">
        <f t="shared" si="68"/>
        <v>Python</v>
      </c>
      <c r="Q472">
        <v>3</v>
      </c>
      <c r="R472">
        <v>10</v>
      </c>
      <c r="S472">
        <v>8</v>
      </c>
      <c r="T472">
        <v>8</v>
      </c>
      <c r="U472">
        <v>10</v>
      </c>
      <c r="V472">
        <v>10</v>
      </c>
      <c r="W472" t="s">
        <v>55</v>
      </c>
      <c r="X472" t="s">
        <v>36</v>
      </c>
      <c r="Y472" t="s">
        <v>37</v>
      </c>
      <c r="Z472">
        <v>27</v>
      </c>
      <c r="AA472" t="s">
        <v>38</v>
      </c>
      <c r="AB472" t="str">
        <f t="shared" si="69"/>
        <v>United States</v>
      </c>
      <c r="AC472" t="s">
        <v>237</v>
      </c>
      <c r="AD472" t="str">
        <f t="shared" si="70"/>
        <v>Bachelors</v>
      </c>
      <c r="AE472" t="s">
        <v>39</v>
      </c>
      <c r="AF472" t="str">
        <f t="shared" si="71"/>
        <v>White or Caucasian</v>
      </c>
    </row>
    <row r="473" spans="1:32" x14ac:dyDescent="0.45">
      <c r="A473" t="s">
        <v>1416</v>
      </c>
      <c r="B473" t="s">
        <v>25</v>
      </c>
      <c r="C473" s="3" t="s">
        <v>1373</v>
      </c>
      <c r="D473" s="3">
        <f t="shared" si="63"/>
        <v>44901</v>
      </c>
      <c r="E473" t="s">
        <v>1417</v>
      </c>
      <c r="F473" s="4">
        <f t="shared" si="64"/>
        <v>0.32708333333333334</v>
      </c>
      <c r="G473" t="s">
        <v>229</v>
      </c>
      <c r="H473" t="s">
        <v>30</v>
      </c>
      <c r="I473" t="str">
        <f t="shared" si="65"/>
        <v>Data Analyst</v>
      </c>
      <c r="J473" t="s">
        <v>31</v>
      </c>
      <c r="K473" t="s">
        <v>44</v>
      </c>
      <c r="L473">
        <f t="shared" si="66"/>
        <v>53</v>
      </c>
      <c r="M473" t="s">
        <v>103</v>
      </c>
      <c r="N473" t="str">
        <f t="shared" si="67"/>
        <v>Tech</v>
      </c>
      <c r="O473" t="s">
        <v>34</v>
      </c>
      <c r="P473" t="str">
        <f t="shared" si="68"/>
        <v>Python</v>
      </c>
      <c r="Q473">
        <v>5</v>
      </c>
      <c r="R473">
        <v>8</v>
      </c>
      <c r="S473">
        <v>3</v>
      </c>
      <c r="T473">
        <v>2</v>
      </c>
      <c r="U473">
        <v>4</v>
      </c>
      <c r="V473">
        <v>8</v>
      </c>
      <c r="W473" t="s">
        <v>85</v>
      </c>
      <c r="X473" t="s">
        <v>114</v>
      </c>
      <c r="Y473" t="s">
        <v>37</v>
      </c>
      <c r="Z473">
        <v>32</v>
      </c>
      <c r="AA473" t="s">
        <v>319</v>
      </c>
      <c r="AB473" t="str">
        <f t="shared" si="69"/>
        <v>Other</v>
      </c>
      <c r="AC473" t="s">
        <v>237</v>
      </c>
      <c r="AD473" t="str">
        <f t="shared" si="70"/>
        <v>Bachelors</v>
      </c>
      <c r="AE473" t="s">
        <v>39</v>
      </c>
      <c r="AF473" t="str">
        <f t="shared" si="71"/>
        <v>White or Caucasian</v>
      </c>
    </row>
    <row r="474" spans="1:32" x14ac:dyDescent="0.45">
      <c r="A474" t="s">
        <v>1418</v>
      </c>
      <c r="B474" t="s">
        <v>25</v>
      </c>
      <c r="C474" s="3" t="s">
        <v>1373</v>
      </c>
      <c r="D474" s="3">
        <f t="shared" si="63"/>
        <v>44901</v>
      </c>
      <c r="E474" t="s">
        <v>1419</v>
      </c>
      <c r="F474" s="4">
        <f t="shared" si="64"/>
        <v>0.35069444444444442</v>
      </c>
      <c r="G474" t="s">
        <v>1420</v>
      </c>
      <c r="H474" t="s">
        <v>123</v>
      </c>
      <c r="I474" t="str">
        <f t="shared" si="65"/>
        <v>None</v>
      </c>
      <c r="J474" t="s">
        <v>31</v>
      </c>
      <c r="K474" t="s">
        <v>53</v>
      </c>
      <c r="L474">
        <f t="shared" si="66"/>
        <v>20</v>
      </c>
      <c r="M474" t="s">
        <v>712</v>
      </c>
      <c r="N474" t="str">
        <f t="shared" si="67"/>
        <v>Real Estate</v>
      </c>
      <c r="O474" t="s">
        <v>34</v>
      </c>
      <c r="P474" t="str">
        <f t="shared" si="68"/>
        <v>Python</v>
      </c>
      <c r="Q474">
        <v>0</v>
      </c>
      <c r="R474">
        <v>3</v>
      </c>
      <c r="S474">
        <v>3</v>
      </c>
      <c r="T474">
        <v>3</v>
      </c>
      <c r="U474">
        <v>3</v>
      </c>
      <c r="V474">
        <v>6</v>
      </c>
      <c r="W474" t="s">
        <v>69</v>
      </c>
      <c r="X474" t="s">
        <v>56</v>
      </c>
      <c r="Y474" t="s">
        <v>37</v>
      </c>
      <c r="Z474">
        <v>47</v>
      </c>
      <c r="AA474" t="s">
        <v>423</v>
      </c>
      <c r="AB474" t="str">
        <f t="shared" si="69"/>
        <v>Other</v>
      </c>
      <c r="AC474" t="s">
        <v>237</v>
      </c>
      <c r="AD474" t="str">
        <f t="shared" si="70"/>
        <v>Bachelors</v>
      </c>
      <c r="AE474" t="s">
        <v>39</v>
      </c>
      <c r="AF474" t="str">
        <f t="shared" si="71"/>
        <v>White or Caucasian</v>
      </c>
    </row>
    <row r="475" spans="1:32" x14ac:dyDescent="0.45">
      <c r="A475" t="s">
        <v>1421</v>
      </c>
      <c r="B475" t="s">
        <v>25</v>
      </c>
      <c r="C475" s="3" t="s">
        <v>1373</v>
      </c>
      <c r="D475" s="3">
        <f t="shared" si="63"/>
        <v>44901</v>
      </c>
      <c r="E475" t="s">
        <v>287</v>
      </c>
      <c r="F475" s="4">
        <f t="shared" si="64"/>
        <v>0.38472222222222224</v>
      </c>
      <c r="G475" t="s">
        <v>615</v>
      </c>
      <c r="H475" t="s">
        <v>1422</v>
      </c>
      <c r="I475" t="str">
        <f t="shared" si="65"/>
        <v>Other</v>
      </c>
      <c r="J475" t="s">
        <v>43</v>
      </c>
      <c r="K475" t="s">
        <v>94</v>
      </c>
      <c r="L475">
        <f t="shared" si="66"/>
        <v>75.5</v>
      </c>
      <c r="M475" t="s">
        <v>45</v>
      </c>
      <c r="N475" t="str">
        <f t="shared" si="67"/>
        <v>Finance</v>
      </c>
      <c r="O475" t="s">
        <v>34</v>
      </c>
      <c r="P475" t="str">
        <f t="shared" si="68"/>
        <v>Python</v>
      </c>
      <c r="Q475">
        <v>0</v>
      </c>
      <c r="R475">
        <v>10</v>
      </c>
      <c r="S475">
        <v>10</v>
      </c>
      <c r="T475">
        <v>5</v>
      </c>
      <c r="U475">
        <v>0</v>
      </c>
      <c r="V475">
        <v>0</v>
      </c>
      <c r="W475" t="s">
        <v>85</v>
      </c>
      <c r="X475" t="s">
        <v>56</v>
      </c>
      <c r="Y475" t="s">
        <v>65</v>
      </c>
      <c r="Z475">
        <v>30</v>
      </c>
      <c r="AA475" t="s">
        <v>38</v>
      </c>
      <c r="AB475" t="str">
        <f t="shared" si="69"/>
        <v>United States</v>
      </c>
      <c r="AC475" t="s">
        <v>240</v>
      </c>
      <c r="AD475" t="str">
        <f t="shared" si="70"/>
        <v>Masters</v>
      </c>
      <c r="AE475" t="s">
        <v>48</v>
      </c>
      <c r="AF475" t="str">
        <f t="shared" si="71"/>
        <v>Asian or Asian American</v>
      </c>
    </row>
    <row r="476" spans="1:32" x14ac:dyDescent="0.45">
      <c r="A476" t="s">
        <v>1423</v>
      </c>
      <c r="B476" t="s">
        <v>25</v>
      </c>
      <c r="C476" s="3" t="s">
        <v>1373</v>
      </c>
      <c r="D476" s="3">
        <f t="shared" si="63"/>
        <v>44901</v>
      </c>
      <c r="E476" t="s">
        <v>366</v>
      </c>
      <c r="F476" s="4">
        <f t="shared" si="64"/>
        <v>0.39583333333333331</v>
      </c>
      <c r="G476" t="s">
        <v>196</v>
      </c>
      <c r="H476" t="s">
        <v>30</v>
      </c>
      <c r="I476" t="str">
        <f t="shared" si="65"/>
        <v>Data Analyst</v>
      </c>
      <c r="J476" t="s">
        <v>31</v>
      </c>
      <c r="K476" t="s">
        <v>32</v>
      </c>
      <c r="L476">
        <f t="shared" si="66"/>
        <v>115.5</v>
      </c>
      <c r="M476" t="s">
        <v>1424</v>
      </c>
      <c r="N476" t="str">
        <f t="shared" si="67"/>
        <v>Other</v>
      </c>
      <c r="O476" t="s">
        <v>34</v>
      </c>
      <c r="P476" t="str">
        <f t="shared" si="68"/>
        <v>Python</v>
      </c>
      <c r="Q476">
        <v>8</v>
      </c>
      <c r="R476">
        <v>6</v>
      </c>
      <c r="S476">
        <v>6</v>
      </c>
      <c r="T476">
        <v>7</v>
      </c>
      <c r="U476">
        <v>9</v>
      </c>
      <c r="V476">
        <v>10</v>
      </c>
      <c r="W476" t="s">
        <v>55</v>
      </c>
      <c r="X476" t="s">
        <v>70</v>
      </c>
      <c r="Y476" t="s">
        <v>65</v>
      </c>
      <c r="Z476">
        <v>35</v>
      </c>
      <c r="AA476" t="s">
        <v>38</v>
      </c>
      <c r="AB476" t="str">
        <f t="shared" si="69"/>
        <v>United States</v>
      </c>
      <c r="AC476" t="s">
        <v>240</v>
      </c>
      <c r="AD476" t="str">
        <f t="shared" si="70"/>
        <v>Masters</v>
      </c>
      <c r="AE476" t="s">
        <v>58</v>
      </c>
      <c r="AF476" t="str">
        <f t="shared" si="71"/>
        <v>Black or African American</v>
      </c>
    </row>
    <row r="477" spans="1:32" x14ac:dyDescent="0.45">
      <c r="A477" t="s">
        <v>1425</v>
      </c>
      <c r="B477" t="s">
        <v>25</v>
      </c>
      <c r="C477" s="3" t="s">
        <v>1373</v>
      </c>
      <c r="D477" s="3">
        <f t="shared" si="63"/>
        <v>44901</v>
      </c>
      <c r="E477" t="s">
        <v>388</v>
      </c>
      <c r="F477" s="4">
        <f t="shared" si="64"/>
        <v>0.4</v>
      </c>
      <c r="G477" t="s">
        <v>931</v>
      </c>
      <c r="H477" t="s">
        <v>30</v>
      </c>
      <c r="I477" t="str">
        <f t="shared" si="65"/>
        <v>Data Analyst</v>
      </c>
      <c r="J477" t="s">
        <v>31</v>
      </c>
      <c r="K477" t="s">
        <v>44</v>
      </c>
      <c r="L477">
        <f t="shared" si="66"/>
        <v>53</v>
      </c>
      <c r="M477" t="s">
        <v>45</v>
      </c>
      <c r="N477" t="str">
        <f t="shared" si="67"/>
        <v>Finance</v>
      </c>
      <c r="O477" t="s">
        <v>34</v>
      </c>
      <c r="P477" t="str">
        <f t="shared" si="68"/>
        <v>Python</v>
      </c>
      <c r="Q477">
        <v>6</v>
      </c>
      <c r="R477">
        <v>9</v>
      </c>
      <c r="S477">
        <v>5</v>
      </c>
      <c r="T477">
        <v>7</v>
      </c>
      <c r="U477">
        <v>8</v>
      </c>
      <c r="V477">
        <v>9</v>
      </c>
      <c r="W477" t="s">
        <v>69</v>
      </c>
      <c r="X477" t="s">
        <v>36</v>
      </c>
      <c r="Y477" t="s">
        <v>37</v>
      </c>
      <c r="Z477">
        <v>25</v>
      </c>
      <c r="AA477" t="s">
        <v>38</v>
      </c>
      <c r="AB477" t="str">
        <f t="shared" si="69"/>
        <v>United States</v>
      </c>
      <c r="AC477" t="s">
        <v>227</v>
      </c>
      <c r="AD477" t="str">
        <f t="shared" si="70"/>
        <v>High School</v>
      </c>
      <c r="AE477" t="s">
        <v>91</v>
      </c>
      <c r="AF477" t="str">
        <f t="shared" si="71"/>
        <v>Hispanic or Latino</v>
      </c>
    </row>
    <row r="478" spans="1:32" x14ac:dyDescent="0.45">
      <c r="A478" t="s">
        <v>1426</v>
      </c>
      <c r="B478" t="s">
        <v>25</v>
      </c>
      <c r="C478" s="3" t="s">
        <v>1373</v>
      </c>
      <c r="D478" s="3">
        <f t="shared" si="63"/>
        <v>44901</v>
      </c>
      <c r="E478" t="s">
        <v>421</v>
      </c>
      <c r="F478" s="4">
        <f t="shared" si="64"/>
        <v>0.40555555555555556</v>
      </c>
      <c r="G478" t="s">
        <v>1427</v>
      </c>
      <c r="H478" t="s">
        <v>1428</v>
      </c>
      <c r="I478" t="str">
        <f t="shared" si="65"/>
        <v>Other</v>
      </c>
      <c r="J478" t="s">
        <v>43</v>
      </c>
      <c r="K478" t="s">
        <v>94</v>
      </c>
      <c r="L478">
        <f t="shared" si="66"/>
        <v>75.5</v>
      </c>
      <c r="M478" t="s">
        <v>1429</v>
      </c>
      <c r="N478" t="str">
        <f t="shared" si="67"/>
        <v>Other</v>
      </c>
      <c r="O478" t="s">
        <v>34</v>
      </c>
      <c r="P478" t="str">
        <f t="shared" si="68"/>
        <v>Python</v>
      </c>
      <c r="Q478">
        <v>3</v>
      </c>
      <c r="R478">
        <v>6</v>
      </c>
      <c r="S478">
        <v>6</v>
      </c>
      <c r="T478">
        <v>6</v>
      </c>
      <c r="U478">
        <v>6</v>
      </c>
      <c r="V478">
        <v>6</v>
      </c>
      <c r="W478" t="s">
        <v>85</v>
      </c>
      <c r="X478" t="s">
        <v>70</v>
      </c>
      <c r="Y478" t="s">
        <v>37</v>
      </c>
      <c r="Z478">
        <v>27</v>
      </c>
      <c r="AA478" t="s">
        <v>38</v>
      </c>
      <c r="AB478" t="str">
        <f t="shared" si="69"/>
        <v>United States</v>
      </c>
      <c r="AC478" t="s">
        <v>237</v>
      </c>
      <c r="AD478" t="str">
        <f t="shared" si="70"/>
        <v>Bachelors</v>
      </c>
      <c r="AE478" t="s">
        <v>39</v>
      </c>
      <c r="AF478" t="str">
        <f t="shared" si="71"/>
        <v>White or Caucasian</v>
      </c>
    </row>
    <row r="479" spans="1:32" x14ac:dyDescent="0.45">
      <c r="A479" t="s">
        <v>1430</v>
      </c>
      <c r="B479" t="s">
        <v>25</v>
      </c>
      <c r="C479" s="3" t="s">
        <v>1373</v>
      </c>
      <c r="D479" s="3">
        <f t="shared" si="63"/>
        <v>44901</v>
      </c>
      <c r="E479" t="s">
        <v>421</v>
      </c>
      <c r="F479" s="4">
        <f t="shared" si="64"/>
        <v>0.40555555555555556</v>
      </c>
      <c r="G479" t="s">
        <v>154</v>
      </c>
      <c r="H479" t="s">
        <v>30</v>
      </c>
      <c r="I479" t="str">
        <f t="shared" si="65"/>
        <v>Data Analyst</v>
      </c>
      <c r="J479" t="s">
        <v>31</v>
      </c>
      <c r="K479" t="s">
        <v>44</v>
      </c>
      <c r="L479">
        <f t="shared" si="66"/>
        <v>53</v>
      </c>
      <c r="M479" t="s">
        <v>33</v>
      </c>
      <c r="N479" t="str">
        <f t="shared" si="67"/>
        <v>Healthcare</v>
      </c>
      <c r="O479" t="s">
        <v>46</v>
      </c>
      <c r="P479" t="str">
        <f t="shared" si="68"/>
        <v>R</v>
      </c>
      <c r="Q479">
        <v>1</v>
      </c>
      <c r="R479">
        <v>5</v>
      </c>
      <c r="S479">
        <v>3</v>
      </c>
      <c r="T479">
        <v>3</v>
      </c>
      <c r="U479">
        <v>6</v>
      </c>
      <c r="V479">
        <v>5</v>
      </c>
      <c r="W479" t="s">
        <v>69</v>
      </c>
      <c r="X479" t="s">
        <v>36</v>
      </c>
      <c r="Y479" t="s">
        <v>65</v>
      </c>
      <c r="Z479">
        <v>27</v>
      </c>
      <c r="AA479" t="s">
        <v>38</v>
      </c>
      <c r="AB479" t="str">
        <f t="shared" si="69"/>
        <v>United States</v>
      </c>
      <c r="AC479" t="s">
        <v>240</v>
      </c>
      <c r="AD479" t="str">
        <f t="shared" si="70"/>
        <v>Masters</v>
      </c>
      <c r="AE479" t="s">
        <v>58</v>
      </c>
      <c r="AF479" t="str">
        <f t="shared" si="71"/>
        <v>Black or African American</v>
      </c>
    </row>
    <row r="480" spans="1:32" x14ac:dyDescent="0.45">
      <c r="A480" t="s">
        <v>1431</v>
      </c>
      <c r="B480" t="s">
        <v>25</v>
      </c>
      <c r="C480" s="3" t="s">
        <v>1373</v>
      </c>
      <c r="D480" s="3">
        <f t="shared" si="63"/>
        <v>44901</v>
      </c>
      <c r="E480" t="s">
        <v>1432</v>
      </c>
      <c r="F480" s="4">
        <f t="shared" si="64"/>
        <v>0.42152777777777778</v>
      </c>
      <c r="G480" t="s">
        <v>196</v>
      </c>
      <c r="H480" t="s">
        <v>123</v>
      </c>
      <c r="I480" t="str">
        <f t="shared" si="65"/>
        <v>None</v>
      </c>
      <c r="J480" t="s">
        <v>43</v>
      </c>
      <c r="K480" t="s">
        <v>53</v>
      </c>
      <c r="L480">
        <f t="shared" si="66"/>
        <v>20</v>
      </c>
      <c r="M480" t="s">
        <v>1433</v>
      </c>
      <c r="N480" t="str">
        <f t="shared" si="67"/>
        <v>Other</v>
      </c>
      <c r="O480" t="s">
        <v>34</v>
      </c>
      <c r="P480" t="str">
        <f t="shared" si="68"/>
        <v>Python</v>
      </c>
      <c r="Q480">
        <v>1</v>
      </c>
      <c r="R480">
        <v>8</v>
      </c>
      <c r="S480">
        <v>8</v>
      </c>
      <c r="T480">
        <v>1</v>
      </c>
      <c r="U480">
        <v>3</v>
      </c>
      <c r="V480">
        <v>7</v>
      </c>
      <c r="W480" t="s">
        <v>64</v>
      </c>
      <c r="X480" t="s">
        <v>70</v>
      </c>
      <c r="Y480" t="s">
        <v>65</v>
      </c>
      <c r="Z480">
        <v>23</v>
      </c>
      <c r="AA480" t="s">
        <v>147</v>
      </c>
      <c r="AB480" t="str">
        <f t="shared" si="69"/>
        <v>India</v>
      </c>
      <c r="AC480" t="s">
        <v>240</v>
      </c>
      <c r="AD480" t="str">
        <f t="shared" si="70"/>
        <v>Masters</v>
      </c>
      <c r="AE480" t="s">
        <v>48</v>
      </c>
      <c r="AF480" t="str">
        <f t="shared" si="71"/>
        <v>Asian or Asian American</v>
      </c>
    </row>
    <row r="481" spans="1:32" x14ac:dyDescent="0.45">
      <c r="A481" t="s">
        <v>1434</v>
      </c>
      <c r="B481" t="s">
        <v>25</v>
      </c>
      <c r="C481" s="3" t="s">
        <v>1373</v>
      </c>
      <c r="D481" s="3">
        <f t="shared" si="63"/>
        <v>44901</v>
      </c>
      <c r="E481" t="s">
        <v>1435</v>
      </c>
      <c r="F481" s="4">
        <f t="shared" si="64"/>
        <v>0.4375</v>
      </c>
      <c r="G481" t="s">
        <v>61</v>
      </c>
      <c r="H481" t="s">
        <v>77</v>
      </c>
      <c r="I481" t="str">
        <f t="shared" si="65"/>
        <v>Data Scientist</v>
      </c>
      <c r="J481" t="s">
        <v>43</v>
      </c>
      <c r="K481" t="s">
        <v>44</v>
      </c>
      <c r="L481">
        <f t="shared" si="66"/>
        <v>53</v>
      </c>
      <c r="M481" t="s">
        <v>1045</v>
      </c>
      <c r="N481" t="str">
        <f t="shared" si="67"/>
        <v>Other</v>
      </c>
      <c r="O481" t="s">
        <v>34</v>
      </c>
      <c r="P481" t="str">
        <f t="shared" si="68"/>
        <v>Python</v>
      </c>
      <c r="Q481">
        <v>9</v>
      </c>
      <c r="R481">
        <v>10</v>
      </c>
      <c r="S481">
        <v>10</v>
      </c>
      <c r="T481">
        <v>10</v>
      </c>
      <c r="U481">
        <v>10</v>
      </c>
      <c r="V481">
        <v>10</v>
      </c>
      <c r="W481" t="s">
        <v>85</v>
      </c>
      <c r="X481" t="s">
        <v>114</v>
      </c>
      <c r="Y481" t="s">
        <v>37</v>
      </c>
      <c r="Z481">
        <v>18</v>
      </c>
      <c r="AA481" t="s">
        <v>38</v>
      </c>
      <c r="AB481" t="str">
        <f t="shared" si="69"/>
        <v>United States</v>
      </c>
      <c r="AC481" t="s">
        <v>237</v>
      </c>
      <c r="AD481" t="str">
        <f t="shared" si="70"/>
        <v>Bachelors</v>
      </c>
      <c r="AE481" t="s">
        <v>39</v>
      </c>
      <c r="AF481" t="str">
        <f t="shared" si="71"/>
        <v>White or Caucasian</v>
      </c>
    </row>
    <row r="482" spans="1:32" x14ac:dyDescent="0.45">
      <c r="A482" t="s">
        <v>1436</v>
      </c>
      <c r="B482" t="s">
        <v>25</v>
      </c>
      <c r="C482" s="3" t="s">
        <v>1373</v>
      </c>
      <c r="D482" s="3">
        <f t="shared" si="63"/>
        <v>44901</v>
      </c>
      <c r="E482" t="s">
        <v>1437</v>
      </c>
      <c r="F482" s="4">
        <f t="shared" si="64"/>
        <v>0.48819444444444443</v>
      </c>
      <c r="G482" t="s">
        <v>825</v>
      </c>
      <c r="H482" t="s">
        <v>30</v>
      </c>
      <c r="I482" t="str">
        <f t="shared" si="65"/>
        <v>Data Analyst</v>
      </c>
      <c r="J482" t="s">
        <v>31</v>
      </c>
      <c r="K482" t="s">
        <v>53</v>
      </c>
      <c r="L482">
        <f t="shared" si="66"/>
        <v>20</v>
      </c>
      <c r="M482" t="s">
        <v>33</v>
      </c>
      <c r="N482" t="str">
        <f t="shared" si="67"/>
        <v>Healthcare</v>
      </c>
      <c r="O482" t="s">
        <v>34</v>
      </c>
      <c r="P482" t="str">
        <f t="shared" si="68"/>
        <v>Python</v>
      </c>
      <c r="Q482">
        <v>8</v>
      </c>
      <c r="R482">
        <v>10</v>
      </c>
      <c r="S482">
        <v>9</v>
      </c>
      <c r="T482">
        <v>6</v>
      </c>
      <c r="U482">
        <v>8</v>
      </c>
      <c r="V482">
        <v>9</v>
      </c>
      <c r="W482" t="s">
        <v>55</v>
      </c>
      <c r="X482" t="s">
        <v>36</v>
      </c>
      <c r="Y482" t="s">
        <v>65</v>
      </c>
      <c r="Z482">
        <v>28</v>
      </c>
      <c r="AA482" t="s">
        <v>899</v>
      </c>
      <c r="AB482" t="str">
        <f t="shared" si="69"/>
        <v>Other</v>
      </c>
      <c r="AC482" t="s">
        <v>240</v>
      </c>
      <c r="AD482" t="str">
        <f t="shared" si="70"/>
        <v>Masters</v>
      </c>
      <c r="AE482" t="s">
        <v>91</v>
      </c>
      <c r="AF482" t="str">
        <f t="shared" si="71"/>
        <v>Hispanic or Latino</v>
      </c>
    </row>
    <row r="483" spans="1:32" x14ac:dyDescent="0.45">
      <c r="A483" t="s">
        <v>1438</v>
      </c>
      <c r="B483" t="s">
        <v>25</v>
      </c>
      <c r="C483" s="3" t="s">
        <v>1373</v>
      </c>
      <c r="D483" s="3">
        <f t="shared" si="63"/>
        <v>44901</v>
      </c>
      <c r="E483" t="s">
        <v>1439</v>
      </c>
      <c r="F483" s="4">
        <f t="shared" si="64"/>
        <v>0.48888888888888887</v>
      </c>
      <c r="G483" t="s">
        <v>154</v>
      </c>
      <c r="H483" t="s">
        <v>518</v>
      </c>
      <c r="I483" t="str">
        <f t="shared" si="65"/>
        <v>Other</v>
      </c>
      <c r="J483" t="s">
        <v>31</v>
      </c>
      <c r="K483" t="s">
        <v>82</v>
      </c>
      <c r="L483">
        <f t="shared" si="66"/>
        <v>137.5</v>
      </c>
      <c r="M483" t="s">
        <v>33</v>
      </c>
      <c r="N483" t="str">
        <f t="shared" si="67"/>
        <v>Healthcare</v>
      </c>
      <c r="O483" t="s">
        <v>34</v>
      </c>
      <c r="P483" t="str">
        <f t="shared" si="68"/>
        <v>Python</v>
      </c>
      <c r="Q483">
        <v>7</v>
      </c>
      <c r="R483">
        <v>6</v>
      </c>
      <c r="S483">
        <v>8</v>
      </c>
      <c r="T483">
        <v>8</v>
      </c>
      <c r="U483">
        <v>8</v>
      </c>
      <c r="V483">
        <v>7</v>
      </c>
      <c r="W483" t="s">
        <v>55</v>
      </c>
      <c r="X483" t="s">
        <v>36</v>
      </c>
      <c r="Y483" t="s">
        <v>37</v>
      </c>
      <c r="Z483">
        <v>28</v>
      </c>
      <c r="AA483" t="s">
        <v>38</v>
      </c>
      <c r="AB483" t="str">
        <f t="shared" si="69"/>
        <v>United States</v>
      </c>
      <c r="AC483" t="s">
        <v>237</v>
      </c>
      <c r="AD483" t="str">
        <f t="shared" si="70"/>
        <v>Bachelors</v>
      </c>
      <c r="AE483" t="s">
        <v>39</v>
      </c>
      <c r="AF483" t="str">
        <f t="shared" si="71"/>
        <v>White or Caucasian</v>
      </c>
    </row>
    <row r="484" spans="1:32" x14ac:dyDescent="0.45">
      <c r="A484" t="s">
        <v>1440</v>
      </c>
      <c r="B484" t="s">
        <v>25</v>
      </c>
      <c r="C484" s="3" t="s">
        <v>1373</v>
      </c>
      <c r="D484" s="3">
        <f t="shared" si="63"/>
        <v>44901</v>
      </c>
      <c r="E484" t="s">
        <v>1259</v>
      </c>
      <c r="F484" s="4">
        <f t="shared" si="64"/>
        <v>0.5083333333333333</v>
      </c>
      <c r="G484" t="s">
        <v>135</v>
      </c>
      <c r="H484" t="s">
        <v>123</v>
      </c>
      <c r="I484" t="str">
        <f t="shared" si="65"/>
        <v>None</v>
      </c>
      <c r="J484" t="s">
        <v>43</v>
      </c>
      <c r="K484" t="s">
        <v>53</v>
      </c>
      <c r="L484">
        <f t="shared" si="66"/>
        <v>20</v>
      </c>
      <c r="M484" t="s">
        <v>1441</v>
      </c>
      <c r="N484" t="str">
        <f t="shared" si="67"/>
        <v>Other</v>
      </c>
      <c r="O484" t="s">
        <v>34</v>
      </c>
      <c r="P484" t="str">
        <f t="shared" si="68"/>
        <v>Python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55</v>
      </c>
      <c r="X484" t="s">
        <v>56</v>
      </c>
      <c r="Y484" t="s">
        <v>65</v>
      </c>
      <c r="Z484">
        <v>26</v>
      </c>
      <c r="AA484" t="s">
        <v>38</v>
      </c>
      <c r="AB484" t="str">
        <f t="shared" si="69"/>
        <v>United States</v>
      </c>
      <c r="AC484" t="s">
        <v>237</v>
      </c>
      <c r="AD484" t="str">
        <f t="shared" si="70"/>
        <v>Bachelors</v>
      </c>
      <c r="AE484" t="s">
        <v>1400</v>
      </c>
      <c r="AF484" t="str">
        <f t="shared" si="71"/>
        <v>American Indian or Alaska Native</v>
      </c>
    </row>
    <row r="485" spans="1:32" x14ac:dyDescent="0.45">
      <c r="A485" t="s">
        <v>1442</v>
      </c>
      <c r="B485" t="s">
        <v>25</v>
      </c>
      <c r="C485" s="3" t="s">
        <v>1373</v>
      </c>
      <c r="D485" s="3">
        <f t="shared" si="63"/>
        <v>44901</v>
      </c>
      <c r="E485" t="s">
        <v>1263</v>
      </c>
      <c r="F485" s="4">
        <f t="shared" si="64"/>
        <v>0.52500000000000002</v>
      </c>
      <c r="G485" t="s">
        <v>229</v>
      </c>
      <c r="H485" t="s">
        <v>123</v>
      </c>
      <c r="I485" t="str">
        <f t="shared" si="65"/>
        <v>None</v>
      </c>
      <c r="J485" t="s">
        <v>43</v>
      </c>
      <c r="K485" t="s">
        <v>53</v>
      </c>
      <c r="L485">
        <f t="shared" si="66"/>
        <v>20</v>
      </c>
      <c r="M485" t="s">
        <v>108</v>
      </c>
      <c r="N485" t="str">
        <f t="shared" si="67"/>
        <v>Education</v>
      </c>
      <c r="O485" t="s">
        <v>34</v>
      </c>
      <c r="P485" t="str">
        <f t="shared" si="68"/>
        <v>Python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8</v>
      </c>
      <c r="W485" t="s">
        <v>69</v>
      </c>
      <c r="X485" t="s">
        <v>70</v>
      </c>
      <c r="Y485" t="s">
        <v>37</v>
      </c>
      <c r="Z485">
        <v>27</v>
      </c>
      <c r="AA485" t="s">
        <v>1443</v>
      </c>
      <c r="AB485" t="str">
        <f t="shared" si="69"/>
        <v>Other</v>
      </c>
      <c r="AC485" t="s">
        <v>237</v>
      </c>
      <c r="AD485" t="str">
        <f t="shared" si="70"/>
        <v>Bachelors</v>
      </c>
      <c r="AE485" t="s">
        <v>58</v>
      </c>
      <c r="AF485" t="str">
        <f t="shared" si="71"/>
        <v>Black or African American</v>
      </c>
    </row>
    <row r="486" spans="1:32" x14ac:dyDescent="0.45">
      <c r="A486" t="s">
        <v>1444</v>
      </c>
      <c r="B486" t="s">
        <v>25</v>
      </c>
      <c r="C486" s="3" t="s">
        <v>1373</v>
      </c>
      <c r="D486" s="3">
        <f t="shared" si="63"/>
        <v>44901</v>
      </c>
      <c r="E486" t="s">
        <v>1445</v>
      </c>
      <c r="F486" s="4">
        <f t="shared" si="64"/>
        <v>0.52986111111111112</v>
      </c>
      <c r="G486" t="s">
        <v>1446</v>
      </c>
      <c r="H486" t="s">
        <v>30</v>
      </c>
      <c r="I486" t="str">
        <f t="shared" si="65"/>
        <v>Data Analyst</v>
      </c>
      <c r="J486" t="s">
        <v>43</v>
      </c>
      <c r="K486" t="s">
        <v>44</v>
      </c>
      <c r="L486">
        <f t="shared" si="66"/>
        <v>53</v>
      </c>
      <c r="M486" t="s">
        <v>103</v>
      </c>
      <c r="N486" t="str">
        <f t="shared" si="67"/>
        <v>Tech</v>
      </c>
      <c r="O486" t="s">
        <v>34</v>
      </c>
      <c r="P486" t="str">
        <f t="shared" si="68"/>
        <v>Python</v>
      </c>
      <c r="Q486">
        <v>9</v>
      </c>
      <c r="R486">
        <v>7</v>
      </c>
      <c r="S486">
        <v>9</v>
      </c>
      <c r="T486">
        <v>10</v>
      </c>
      <c r="U486">
        <v>10</v>
      </c>
      <c r="V486">
        <v>10</v>
      </c>
      <c r="W486" t="s">
        <v>85</v>
      </c>
      <c r="X486" t="s">
        <v>56</v>
      </c>
      <c r="Y486" t="s">
        <v>65</v>
      </c>
      <c r="Z486">
        <v>22</v>
      </c>
      <c r="AA486" t="s">
        <v>147</v>
      </c>
      <c r="AB486" t="str">
        <f t="shared" si="69"/>
        <v>India</v>
      </c>
      <c r="AC486" t="s">
        <v>240</v>
      </c>
      <c r="AD486" t="str">
        <f t="shared" si="70"/>
        <v>Masters</v>
      </c>
      <c r="AE486" t="s">
        <v>48</v>
      </c>
      <c r="AF486" t="str">
        <f t="shared" si="71"/>
        <v>Asian or Asian American</v>
      </c>
    </row>
    <row r="487" spans="1:32" x14ac:dyDescent="0.45">
      <c r="A487" t="s">
        <v>1447</v>
      </c>
      <c r="B487" t="s">
        <v>25</v>
      </c>
      <c r="C487" s="3" t="s">
        <v>1373</v>
      </c>
      <c r="D487" s="3">
        <f t="shared" si="63"/>
        <v>44901</v>
      </c>
      <c r="E487" t="s">
        <v>719</v>
      </c>
      <c r="F487" s="4">
        <f t="shared" si="64"/>
        <v>0.53263888888888888</v>
      </c>
      <c r="G487" t="s">
        <v>389</v>
      </c>
      <c r="H487" t="s">
        <v>30</v>
      </c>
      <c r="I487" t="str">
        <f t="shared" si="65"/>
        <v>Data Analyst</v>
      </c>
      <c r="J487" t="s">
        <v>31</v>
      </c>
      <c r="K487" t="s">
        <v>53</v>
      </c>
      <c r="L487">
        <f t="shared" si="66"/>
        <v>20</v>
      </c>
      <c r="M487" t="s">
        <v>103</v>
      </c>
      <c r="N487" t="str">
        <f t="shared" si="67"/>
        <v>Tech</v>
      </c>
      <c r="O487" t="s">
        <v>46</v>
      </c>
      <c r="P487" t="str">
        <f t="shared" si="68"/>
        <v>R</v>
      </c>
      <c r="Q487">
        <v>0</v>
      </c>
      <c r="R487">
        <v>8</v>
      </c>
      <c r="S487">
        <v>7</v>
      </c>
      <c r="T487">
        <v>6</v>
      </c>
      <c r="U487">
        <v>3</v>
      </c>
      <c r="V487">
        <v>9</v>
      </c>
      <c r="W487" t="s">
        <v>35</v>
      </c>
      <c r="X487" t="s">
        <v>70</v>
      </c>
      <c r="Y487" t="s">
        <v>37</v>
      </c>
      <c r="Z487">
        <v>27</v>
      </c>
      <c r="AA487" t="s">
        <v>38</v>
      </c>
      <c r="AB487" t="str">
        <f t="shared" si="69"/>
        <v>United States</v>
      </c>
      <c r="AC487" t="s">
        <v>227</v>
      </c>
      <c r="AD487" t="str">
        <f t="shared" si="70"/>
        <v>High School</v>
      </c>
      <c r="AE487" t="s">
        <v>39</v>
      </c>
      <c r="AF487" t="str">
        <f t="shared" si="71"/>
        <v>White or Caucasian</v>
      </c>
    </row>
    <row r="488" spans="1:32" x14ac:dyDescent="0.45">
      <c r="A488" t="s">
        <v>1448</v>
      </c>
      <c r="B488" t="s">
        <v>25</v>
      </c>
      <c r="C488" s="3" t="s">
        <v>1373</v>
      </c>
      <c r="D488" s="3">
        <f t="shared" si="63"/>
        <v>44901</v>
      </c>
      <c r="E488" t="s">
        <v>750</v>
      </c>
      <c r="F488" s="4">
        <f t="shared" si="64"/>
        <v>0.55069444444444449</v>
      </c>
      <c r="G488" t="s">
        <v>822</v>
      </c>
      <c r="H488" t="s">
        <v>52</v>
      </c>
      <c r="I488" t="str">
        <f t="shared" si="65"/>
        <v>Data Engineer</v>
      </c>
      <c r="J488" t="s">
        <v>31</v>
      </c>
      <c r="K488" t="s">
        <v>53</v>
      </c>
      <c r="L488">
        <f t="shared" si="66"/>
        <v>20</v>
      </c>
      <c r="M488" t="s">
        <v>1449</v>
      </c>
      <c r="N488" t="str">
        <f t="shared" si="67"/>
        <v>Other</v>
      </c>
      <c r="O488" t="s">
        <v>34</v>
      </c>
      <c r="P488" t="str">
        <f t="shared" si="68"/>
        <v>Python</v>
      </c>
      <c r="Q488">
        <v>5</v>
      </c>
      <c r="R488">
        <v>7</v>
      </c>
      <c r="S488">
        <v>6</v>
      </c>
      <c r="T488">
        <v>8</v>
      </c>
      <c r="U488">
        <v>7</v>
      </c>
      <c r="V488">
        <v>7</v>
      </c>
      <c r="W488" t="s">
        <v>85</v>
      </c>
      <c r="X488" t="s">
        <v>56</v>
      </c>
      <c r="Y488" t="s">
        <v>37</v>
      </c>
      <c r="Z488">
        <v>28</v>
      </c>
      <c r="AA488" t="s">
        <v>147</v>
      </c>
      <c r="AB488" t="str">
        <f t="shared" si="69"/>
        <v>India</v>
      </c>
      <c r="AC488" t="s">
        <v>237</v>
      </c>
      <c r="AD488" t="str">
        <f t="shared" si="70"/>
        <v>Bachelors</v>
      </c>
      <c r="AE488" t="s">
        <v>48</v>
      </c>
      <c r="AF488" t="str">
        <f t="shared" si="71"/>
        <v>Asian or Asian American</v>
      </c>
    </row>
    <row r="489" spans="1:32" x14ac:dyDescent="0.45">
      <c r="A489" t="s">
        <v>1450</v>
      </c>
      <c r="B489" t="s">
        <v>25</v>
      </c>
      <c r="C489" s="3" t="s">
        <v>1373</v>
      </c>
      <c r="D489" s="3">
        <f t="shared" si="63"/>
        <v>44901</v>
      </c>
      <c r="E489" t="s">
        <v>768</v>
      </c>
      <c r="F489" s="4">
        <f t="shared" si="64"/>
        <v>0.56736111111111109</v>
      </c>
      <c r="G489" t="s">
        <v>269</v>
      </c>
      <c r="H489" t="s">
        <v>30</v>
      </c>
      <c r="I489" t="str">
        <f t="shared" si="65"/>
        <v>Data Analyst</v>
      </c>
      <c r="J489" t="s">
        <v>31</v>
      </c>
      <c r="K489" t="s">
        <v>53</v>
      </c>
      <c r="L489">
        <f t="shared" si="66"/>
        <v>20</v>
      </c>
      <c r="M489" t="s">
        <v>103</v>
      </c>
      <c r="N489" t="str">
        <f t="shared" si="67"/>
        <v>Tech</v>
      </c>
      <c r="O489" t="s">
        <v>34</v>
      </c>
      <c r="P489" t="str">
        <f t="shared" si="68"/>
        <v>Python</v>
      </c>
      <c r="Q489">
        <v>3</v>
      </c>
      <c r="R489">
        <v>2</v>
      </c>
      <c r="S489">
        <v>4</v>
      </c>
      <c r="T489">
        <v>3</v>
      </c>
      <c r="U489">
        <v>3</v>
      </c>
      <c r="V489">
        <v>3</v>
      </c>
      <c r="W489" t="s">
        <v>85</v>
      </c>
      <c r="X489" t="s">
        <v>70</v>
      </c>
      <c r="Y489" t="s">
        <v>37</v>
      </c>
      <c r="Z489">
        <v>25</v>
      </c>
      <c r="AA489" t="s">
        <v>57</v>
      </c>
      <c r="AB489" t="str">
        <f t="shared" si="69"/>
        <v>Other</v>
      </c>
      <c r="AC489" t="s">
        <v>227</v>
      </c>
      <c r="AD489" t="str">
        <f t="shared" si="70"/>
        <v>High School</v>
      </c>
      <c r="AE489" t="s">
        <v>58</v>
      </c>
      <c r="AF489" t="str">
        <f t="shared" si="71"/>
        <v>Black or African American</v>
      </c>
    </row>
    <row r="490" spans="1:32" x14ac:dyDescent="0.45">
      <c r="A490" t="s">
        <v>1451</v>
      </c>
      <c r="B490" t="s">
        <v>25</v>
      </c>
      <c r="C490" s="3" t="s">
        <v>1373</v>
      </c>
      <c r="D490" s="3">
        <f t="shared" si="63"/>
        <v>44901</v>
      </c>
      <c r="E490" t="s">
        <v>1452</v>
      </c>
      <c r="F490" s="4">
        <f t="shared" si="64"/>
        <v>0.5854166666666667</v>
      </c>
      <c r="G490" t="s">
        <v>196</v>
      </c>
      <c r="H490" t="s">
        <v>30</v>
      </c>
      <c r="I490" t="str">
        <f t="shared" si="65"/>
        <v>Data Analyst</v>
      </c>
      <c r="J490" t="s">
        <v>43</v>
      </c>
      <c r="K490" t="s">
        <v>53</v>
      </c>
      <c r="L490">
        <f t="shared" si="66"/>
        <v>20</v>
      </c>
      <c r="M490" t="s">
        <v>33</v>
      </c>
      <c r="N490" t="str">
        <f t="shared" si="67"/>
        <v>Healthcare</v>
      </c>
      <c r="O490" t="s">
        <v>34</v>
      </c>
      <c r="P490" t="str">
        <f t="shared" si="68"/>
        <v>Python</v>
      </c>
      <c r="Q490">
        <v>2</v>
      </c>
      <c r="R490">
        <v>6</v>
      </c>
      <c r="S490">
        <v>6</v>
      </c>
      <c r="T490">
        <v>7</v>
      </c>
      <c r="U490">
        <v>7</v>
      </c>
      <c r="V490">
        <v>9</v>
      </c>
      <c r="W490" t="s">
        <v>69</v>
      </c>
      <c r="X490" t="s">
        <v>70</v>
      </c>
      <c r="Y490" t="s">
        <v>37</v>
      </c>
      <c r="Z490">
        <v>32</v>
      </c>
      <c r="AA490" t="s">
        <v>109</v>
      </c>
      <c r="AB490" t="str">
        <f t="shared" si="69"/>
        <v>United Kingdom</v>
      </c>
      <c r="AC490" t="s">
        <v>237</v>
      </c>
      <c r="AD490" t="str">
        <f t="shared" si="70"/>
        <v>Bachelors</v>
      </c>
      <c r="AE490" t="s">
        <v>91</v>
      </c>
      <c r="AF490" t="str">
        <f t="shared" si="71"/>
        <v>Hispanic or Latino</v>
      </c>
    </row>
    <row r="491" spans="1:32" x14ac:dyDescent="0.45">
      <c r="A491" t="s">
        <v>1453</v>
      </c>
      <c r="B491" t="s">
        <v>25</v>
      </c>
      <c r="C491" s="3" t="s">
        <v>1373</v>
      </c>
      <c r="D491" s="3">
        <f t="shared" si="63"/>
        <v>44901</v>
      </c>
      <c r="E491" t="s">
        <v>1454</v>
      </c>
      <c r="F491" s="4">
        <f t="shared" si="64"/>
        <v>0.60624999999999996</v>
      </c>
      <c r="G491" t="s">
        <v>1455</v>
      </c>
      <c r="H491" t="s">
        <v>123</v>
      </c>
      <c r="I491" t="str">
        <f t="shared" si="65"/>
        <v>None</v>
      </c>
      <c r="J491" t="s">
        <v>31</v>
      </c>
      <c r="K491" t="s">
        <v>53</v>
      </c>
      <c r="L491">
        <f t="shared" si="66"/>
        <v>20</v>
      </c>
      <c r="M491" t="s">
        <v>45</v>
      </c>
      <c r="N491" t="str">
        <f t="shared" si="67"/>
        <v>Finance</v>
      </c>
      <c r="O491" t="s">
        <v>84</v>
      </c>
      <c r="P491" t="str">
        <f t="shared" si="68"/>
        <v>Other</v>
      </c>
      <c r="Q491">
        <v>7</v>
      </c>
      <c r="R491">
        <v>9</v>
      </c>
      <c r="S491">
        <v>10</v>
      </c>
      <c r="T491">
        <v>10</v>
      </c>
      <c r="U491">
        <v>3</v>
      </c>
      <c r="V491">
        <v>4</v>
      </c>
      <c r="W491" t="s">
        <v>55</v>
      </c>
      <c r="X491" t="s">
        <v>36</v>
      </c>
      <c r="Y491" t="s">
        <v>37</v>
      </c>
      <c r="Z491">
        <v>33</v>
      </c>
      <c r="AA491" t="s">
        <v>1456</v>
      </c>
      <c r="AB491" t="str">
        <f t="shared" si="69"/>
        <v>Other</v>
      </c>
      <c r="AC491" t="s">
        <v>237</v>
      </c>
      <c r="AD491" t="str">
        <f t="shared" si="70"/>
        <v>Bachelors</v>
      </c>
      <c r="AE491" t="s">
        <v>39</v>
      </c>
      <c r="AF491" t="str">
        <f t="shared" si="71"/>
        <v>White or Caucasian</v>
      </c>
    </row>
    <row r="492" spans="1:32" x14ac:dyDescent="0.45">
      <c r="A492" t="s">
        <v>1457</v>
      </c>
      <c r="B492" t="s">
        <v>25</v>
      </c>
      <c r="C492" s="3" t="s">
        <v>1373</v>
      </c>
      <c r="D492" s="3">
        <f t="shared" si="63"/>
        <v>44901</v>
      </c>
      <c r="E492" t="s">
        <v>845</v>
      </c>
      <c r="F492" s="4">
        <f t="shared" si="64"/>
        <v>0.61319444444444449</v>
      </c>
      <c r="G492" t="s">
        <v>1458</v>
      </c>
      <c r="H492" t="s">
        <v>30</v>
      </c>
      <c r="I492" t="str">
        <f t="shared" si="65"/>
        <v>Data Analyst</v>
      </c>
      <c r="J492" t="s">
        <v>43</v>
      </c>
      <c r="K492" t="s">
        <v>44</v>
      </c>
      <c r="L492">
        <f t="shared" si="66"/>
        <v>53</v>
      </c>
      <c r="M492" t="s">
        <v>1459</v>
      </c>
      <c r="N492" t="str">
        <f t="shared" si="67"/>
        <v>Other</v>
      </c>
      <c r="O492" t="s">
        <v>34</v>
      </c>
      <c r="P492" t="str">
        <f t="shared" si="68"/>
        <v>Python</v>
      </c>
      <c r="Q492">
        <v>5</v>
      </c>
      <c r="R492">
        <v>6</v>
      </c>
      <c r="S492">
        <v>5</v>
      </c>
      <c r="T492">
        <v>2</v>
      </c>
      <c r="U492">
        <v>3</v>
      </c>
      <c r="V492">
        <v>3</v>
      </c>
      <c r="W492" t="s">
        <v>55</v>
      </c>
      <c r="X492" t="s">
        <v>36</v>
      </c>
      <c r="Y492" t="s">
        <v>37</v>
      </c>
      <c r="Z492">
        <v>23</v>
      </c>
      <c r="AA492" t="s">
        <v>47</v>
      </c>
      <c r="AB492" t="str">
        <f t="shared" si="69"/>
        <v>Canada</v>
      </c>
      <c r="AC492" t="s">
        <v>240</v>
      </c>
      <c r="AD492" t="str">
        <f t="shared" si="70"/>
        <v>Masters</v>
      </c>
      <c r="AE492" t="s">
        <v>58</v>
      </c>
      <c r="AF492" t="str">
        <f t="shared" si="71"/>
        <v>Black or African American</v>
      </c>
    </row>
    <row r="493" spans="1:32" x14ac:dyDescent="0.45">
      <c r="A493" t="s">
        <v>1460</v>
      </c>
      <c r="B493" t="s">
        <v>25</v>
      </c>
      <c r="C493" s="3" t="s">
        <v>1373</v>
      </c>
      <c r="D493" s="3">
        <f t="shared" si="63"/>
        <v>44901</v>
      </c>
      <c r="E493" t="s">
        <v>1461</v>
      </c>
      <c r="F493" s="4">
        <f t="shared" si="64"/>
        <v>0.63124999999999998</v>
      </c>
      <c r="G493" t="s">
        <v>881</v>
      </c>
      <c r="H493" t="s">
        <v>123</v>
      </c>
      <c r="I493" t="str">
        <f t="shared" si="65"/>
        <v>None</v>
      </c>
      <c r="J493" t="s">
        <v>31</v>
      </c>
      <c r="K493" t="s">
        <v>53</v>
      </c>
      <c r="L493">
        <f t="shared" si="66"/>
        <v>20</v>
      </c>
      <c r="M493" t="s">
        <v>45</v>
      </c>
      <c r="N493" t="str">
        <f t="shared" si="67"/>
        <v>Finance</v>
      </c>
      <c r="O493" t="s">
        <v>46</v>
      </c>
      <c r="P493" t="str">
        <f t="shared" si="68"/>
        <v>R</v>
      </c>
      <c r="Q493">
        <v>4</v>
      </c>
      <c r="R493">
        <v>5</v>
      </c>
      <c r="S493">
        <v>4</v>
      </c>
      <c r="T493">
        <v>4</v>
      </c>
      <c r="U493">
        <v>5</v>
      </c>
      <c r="V493">
        <v>6</v>
      </c>
      <c r="W493" t="s">
        <v>85</v>
      </c>
      <c r="X493" t="s">
        <v>36</v>
      </c>
      <c r="Y493" t="s">
        <v>65</v>
      </c>
      <c r="Z493">
        <v>40</v>
      </c>
      <c r="AA493" t="s">
        <v>57</v>
      </c>
      <c r="AB493" t="str">
        <f t="shared" si="69"/>
        <v>Other</v>
      </c>
      <c r="AC493" t="s">
        <v>237</v>
      </c>
      <c r="AD493" t="str">
        <f t="shared" si="70"/>
        <v>Bachelors</v>
      </c>
      <c r="AE493" t="s">
        <v>58</v>
      </c>
      <c r="AF493" t="str">
        <f t="shared" si="71"/>
        <v>Black or African American</v>
      </c>
    </row>
    <row r="494" spans="1:32" x14ac:dyDescent="0.45">
      <c r="A494" t="s">
        <v>1462</v>
      </c>
      <c r="B494" t="s">
        <v>25</v>
      </c>
      <c r="C494" s="3" t="s">
        <v>1373</v>
      </c>
      <c r="D494" s="3">
        <f t="shared" si="63"/>
        <v>44901</v>
      </c>
      <c r="E494" t="s">
        <v>1463</v>
      </c>
      <c r="F494" s="4">
        <f t="shared" si="64"/>
        <v>0.65625</v>
      </c>
      <c r="G494" t="s">
        <v>210</v>
      </c>
      <c r="H494" t="s">
        <v>30</v>
      </c>
      <c r="I494" t="str">
        <f t="shared" si="65"/>
        <v>Data Analyst</v>
      </c>
      <c r="J494" t="s">
        <v>31</v>
      </c>
      <c r="K494" t="s">
        <v>44</v>
      </c>
      <c r="L494">
        <f t="shared" si="66"/>
        <v>53</v>
      </c>
      <c r="M494" t="s">
        <v>1464</v>
      </c>
      <c r="N494" t="str">
        <f t="shared" si="67"/>
        <v>Other</v>
      </c>
      <c r="O494" t="s">
        <v>34</v>
      </c>
      <c r="P494" t="str">
        <f t="shared" si="68"/>
        <v>Python</v>
      </c>
      <c r="Q494">
        <v>7</v>
      </c>
      <c r="R494">
        <v>9</v>
      </c>
      <c r="S494">
        <v>9</v>
      </c>
      <c r="T494">
        <v>9</v>
      </c>
      <c r="U494">
        <v>7</v>
      </c>
      <c r="V494">
        <v>9</v>
      </c>
      <c r="W494" t="s">
        <v>55</v>
      </c>
      <c r="X494" t="s">
        <v>70</v>
      </c>
      <c r="Y494" t="s">
        <v>65</v>
      </c>
      <c r="Z494">
        <v>28</v>
      </c>
      <c r="AA494" t="s">
        <v>109</v>
      </c>
      <c r="AB494" t="str">
        <f t="shared" si="69"/>
        <v>United Kingdom</v>
      </c>
      <c r="AC494" t="s">
        <v>237</v>
      </c>
      <c r="AD494" t="str">
        <f t="shared" si="70"/>
        <v>Bachelors</v>
      </c>
      <c r="AE494" t="s">
        <v>48</v>
      </c>
      <c r="AF494" t="str">
        <f t="shared" si="71"/>
        <v>Asian or Asian American</v>
      </c>
    </row>
    <row r="495" spans="1:32" x14ac:dyDescent="0.45">
      <c r="A495" t="s">
        <v>1465</v>
      </c>
      <c r="B495" t="s">
        <v>25</v>
      </c>
      <c r="C495" s="3" t="s">
        <v>1373</v>
      </c>
      <c r="D495" s="3">
        <f t="shared" si="63"/>
        <v>44901</v>
      </c>
      <c r="E495" t="s">
        <v>1466</v>
      </c>
      <c r="F495" s="4">
        <f t="shared" si="64"/>
        <v>0.68263888888888891</v>
      </c>
      <c r="G495" t="s">
        <v>1467</v>
      </c>
      <c r="H495" t="s">
        <v>30</v>
      </c>
      <c r="I495" t="str">
        <f t="shared" si="65"/>
        <v>Data Analyst</v>
      </c>
      <c r="J495" t="s">
        <v>43</v>
      </c>
      <c r="K495" t="s">
        <v>53</v>
      </c>
      <c r="L495">
        <f t="shared" si="66"/>
        <v>20</v>
      </c>
      <c r="M495" t="s">
        <v>712</v>
      </c>
      <c r="N495" t="str">
        <f t="shared" si="67"/>
        <v>Real Estate</v>
      </c>
      <c r="O495" t="s">
        <v>46</v>
      </c>
      <c r="P495" t="str">
        <f t="shared" si="68"/>
        <v>R</v>
      </c>
      <c r="Q495">
        <v>3</v>
      </c>
      <c r="R495">
        <v>7</v>
      </c>
      <c r="S495">
        <v>8</v>
      </c>
      <c r="T495">
        <v>6</v>
      </c>
      <c r="U495">
        <v>6</v>
      </c>
      <c r="V495">
        <v>9</v>
      </c>
      <c r="W495" t="s">
        <v>69</v>
      </c>
      <c r="X495" t="s">
        <v>36</v>
      </c>
      <c r="Y495" t="s">
        <v>37</v>
      </c>
      <c r="Z495">
        <v>26</v>
      </c>
      <c r="AA495" t="s">
        <v>57</v>
      </c>
      <c r="AB495" t="str">
        <f t="shared" si="69"/>
        <v>Other</v>
      </c>
      <c r="AC495" t="s">
        <v>227</v>
      </c>
      <c r="AD495" t="str">
        <f t="shared" si="70"/>
        <v>High School</v>
      </c>
      <c r="AE495" t="s">
        <v>58</v>
      </c>
      <c r="AF495" t="str">
        <f t="shared" si="71"/>
        <v>Black or African American</v>
      </c>
    </row>
    <row r="496" spans="1:32" x14ac:dyDescent="0.45">
      <c r="A496" t="s">
        <v>1468</v>
      </c>
      <c r="B496" t="s">
        <v>25</v>
      </c>
      <c r="C496" s="3" t="s">
        <v>1373</v>
      </c>
      <c r="D496" s="3">
        <f t="shared" si="63"/>
        <v>44901</v>
      </c>
      <c r="E496" t="s">
        <v>1469</v>
      </c>
      <c r="F496" s="4">
        <f t="shared" si="64"/>
        <v>0.68611111111111112</v>
      </c>
      <c r="G496" t="s">
        <v>641</v>
      </c>
      <c r="H496" t="s">
        <v>1470</v>
      </c>
      <c r="I496" t="str">
        <f t="shared" si="65"/>
        <v>Other</v>
      </c>
      <c r="J496" t="s">
        <v>31</v>
      </c>
      <c r="K496" t="s">
        <v>53</v>
      </c>
      <c r="L496">
        <f t="shared" si="66"/>
        <v>20</v>
      </c>
      <c r="M496" t="s">
        <v>103</v>
      </c>
      <c r="N496" t="str">
        <f t="shared" si="67"/>
        <v>Tech</v>
      </c>
      <c r="O496" t="s">
        <v>34</v>
      </c>
      <c r="P496" t="str">
        <f t="shared" si="68"/>
        <v>Python</v>
      </c>
      <c r="Q496">
        <v>3</v>
      </c>
      <c r="R496">
        <v>5</v>
      </c>
      <c r="S496">
        <v>5</v>
      </c>
      <c r="T496">
        <v>4</v>
      </c>
      <c r="U496">
        <v>3</v>
      </c>
      <c r="V496">
        <v>2</v>
      </c>
      <c r="W496" t="s">
        <v>69</v>
      </c>
      <c r="X496" t="s">
        <v>70</v>
      </c>
      <c r="Y496" t="s">
        <v>65</v>
      </c>
      <c r="Z496">
        <v>24</v>
      </c>
      <c r="AA496" t="s">
        <v>147</v>
      </c>
      <c r="AB496" t="str">
        <f t="shared" si="69"/>
        <v>India</v>
      </c>
      <c r="AC496" t="s">
        <v>237</v>
      </c>
      <c r="AD496" t="str">
        <f t="shared" si="70"/>
        <v>Bachelors</v>
      </c>
      <c r="AE496" t="s">
        <v>48</v>
      </c>
      <c r="AF496" t="str">
        <f t="shared" si="71"/>
        <v>Asian or Asian American</v>
      </c>
    </row>
    <row r="497" spans="1:32" x14ac:dyDescent="0.45">
      <c r="A497" t="s">
        <v>1471</v>
      </c>
      <c r="B497" t="s">
        <v>25</v>
      </c>
      <c r="C497" s="3" t="s">
        <v>1373</v>
      </c>
      <c r="D497" s="3">
        <f t="shared" si="63"/>
        <v>44901</v>
      </c>
      <c r="E497" t="s">
        <v>955</v>
      </c>
      <c r="F497" s="4">
        <f t="shared" si="64"/>
        <v>0.70902777777777781</v>
      </c>
      <c r="G497" t="s">
        <v>265</v>
      </c>
      <c r="H497" t="s">
        <v>1472</v>
      </c>
      <c r="I497" t="str">
        <f t="shared" si="65"/>
        <v>Other</v>
      </c>
      <c r="J497" t="s">
        <v>31</v>
      </c>
      <c r="K497" t="s">
        <v>87</v>
      </c>
      <c r="L497">
        <f t="shared" si="66"/>
        <v>95.5</v>
      </c>
      <c r="M497" t="s">
        <v>45</v>
      </c>
      <c r="N497" t="str">
        <f t="shared" si="67"/>
        <v>Finance</v>
      </c>
      <c r="O497" t="s">
        <v>34</v>
      </c>
      <c r="P497" t="str">
        <f t="shared" si="68"/>
        <v>Python</v>
      </c>
      <c r="Q497">
        <v>7</v>
      </c>
      <c r="R497">
        <v>5</v>
      </c>
      <c r="S497">
        <v>5</v>
      </c>
      <c r="T497">
        <v>8</v>
      </c>
      <c r="U497">
        <v>8</v>
      </c>
      <c r="V497">
        <v>8</v>
      </c>
      <c r="W497" t="s">
        <v>85</v>
      </c>
      <c r="X497" t="s">
        <v>36</v>
      </c>
      <c r="Y497" t="s">
        <v>65</v>
      </c>
      <c r="Z497">
        <v>40</v>
      </c>
      <c r="AA497" t="s">
        <v>38</v>
      </c>
      <c r="AB497" t="str">
        <f t="shared" si="69"/>
        <v>United States</v>
      </c>
      <c r="AC497" t="s">
        <v>262</v>
      </c>
      <c r="AD497" t="str">
        <f t="shared" si="70"/>
        <v>Associates</v>
      </c>
      <c r="AE497" t="s">
        <v>1473</v>
      </c>
      <c r="AF497" t="str">
        <f t="shared" si="71"/>
        <v>Other</v>
      </c>
    </row>
    <row r="498" spans="1:32" x14ac:dyDescent="0.45">
      <c r="A498" t="s">
        <v>1474</v>
      </c>
      <c r="B498" t="s">
        <v>25</v>
      </c>
      <c r="C498" s="3" t="s">
        <v>1373</v>
      </c>
      <c r="D498" s="3">
        <f t="shared" si="63"/>
        <v>44901</v>
      </c>
      <c r="E498" t="s">
        <v>960</v>
      </c>
      <c r="F498" s="4">
        <f t="shared" si="64"/>
        <v>0.71458333333333335</v>
      </c>
      <c r="G498" t="s">
        <v>269</v>
      </c>
      <c r="H498" t="s">
        <v>30</v>
      </c>
      <c r="I498" t="str">
        <f t="shared" si="65"/>
        <v>Data Analyst</v>
      </c>
      <c r="J498" t="s">
        <v>31</v>
      </c>
      <c r="K498" t="s">
        <v>94</v>
      </c>
      <c r="L498">
        <f t="shared" si="66"/>
        <v>75.5</v>
      </c>
      <c r="M498" t="s">
        <v>393</v>
      </c>
      <c r="N498" t="str">
        <f t="shared" si="67"/>
        <v>Other</v>
      </c>
      <c r="O498" t="s">
        <v>34</v>
      </c>
      <c r="P498" t="str">
        <f t="shared" si="68"/>
        <v>Python</v>
      </c>
      <c r="Q498">
        <v>8</v>
      </c>
      <c r="R498">
        <v>10</v>
      </c>
      <c r="S498">
        <v>10</v>
      </c>
      <c r="T498">
        <v>10</v>
      </c>
      <c r="U498">
        <v>7</v>
      </c>
      <c r="V498">
        <v>9</v>
      </c>
      <c r="W498" t="s">
        <v>85</v>
      </c>
      <c r="X498" t="s">
        <v>70</v>
      </c>
      <c r="Y498" t="s">
        <v>37</v>
      </c>
      <c r="Z498">
        <v>26</v>
      </c>
      <c r="AA498" t="s">
        <v>38</v>
      </c>
      <c r="AB498" t="str">
        <f t="shared" si="69"/>
        <v>United States</v>
      </c>
      <c r="AC498" t="s">
        <v>237</v>
      </c>
      <c r="AD498" t="str">
        <f t="shared" si="70"/>
        <v>Bachelors</v>
      </c>
      <c r="AE498" t="s">
        <v>58</v>
      </c>
      <c r="AF498" t="str">
        <f t="shared" si="71"/>
        <v>Black or African American</v>
      </c>
    </row>
    <row r="499" spans="1:32" x14ac:dyDescent="0.45">
      <c r="A499" t="s">
        <v>1475</v>
      </c>
      <c r="B499" t="s">
        <v>25</v>
      </c>
      <c r="C499" s="3" t="s">
        <v>1373</v>
      </c>
      <c r="D499" s="3">
        <f t="shared" si="63"/>
        <v>44901</v>
      </c>
      <c r="E499" t="s">
        <v>1476</v>
      </c>
      <c r="F499" s="4">
        <f t="shared" si="64"/>
        <v>0.73750000000000004</v>
      </c>
      <c r="G499" t="s">
        <v>358</v>
      </c>
      <c r="H499" t="s">
        <v>77</v>
      </c>
      <c r="I499" t="str">
        <f t="shared" si="65"/>
        <v>Data Scientist</v>
      </c>
      <c r="J499" t="s">
        <v>31</v>
      </c>
      <c r="K499" t="s">
        <v>44</v>
      </c>
      <c r="L499">
        <f t="shared" si="66"/>
        <v>53</v>
      </c>
      <c r="M499" t="s">
        <v>1477</v>
      </c>
      <c r="N499" t="str">
        <f t="shared" si="67"/>
        <v>Other</v>
      </c>
      <c r="O499" t="s">
        <v>34</v>
      </c>
      <c r="P499" t="str">
        <f t="shared" si="68"/>
        <v>Python</v>
      </c>
      <c r="Q499">
        <v>8</v>
      </c>
      <c r="R499">
        <v>8</v>
      </c>
      <c r="S499">
        <v>10</v>
      </c>
      <c r="T499">
        <v>10</v>
      </c>
      <c r="U499">
        <v>10</v>
      </c>
      <c r="V499">
        <v>10</v>
      </c>
      <c r="W499" t="s">
        <v>55</v>
      </c>
      <c r="X499" t="s">
        <v>114</v>
      </c>
      <c r="Y499" t="s">
        <v>65</v>
      </c>
      <c r="Z499">
        <v>44</v>
      </c>
      <c r="AA499" t="s">
        <v>109</v>
      </c>
      <c r="AB499" t="str">
        <f t="shared" si="69"/>
        <v>United Kingdom</v>
      </c>
      <c r="AC499" t="s">
        <v>237</v>
      </c>
      <c r="AD499" t="str">
        <f t="shared" si="70"/>
        <v>Bachelors</v>
      </c>
      <c r="AE499" t="s">
        <v>39</v>
      </c>
      <c r="AF499" t="str">
        <f t="shared" si="71"/>
        <v>White or Caucasian</v>
      </c>
    </row>
    <row r="500" spans="1:32" x14ac:dyDescent="0.45">
      <c r="A500" t="s">
        <v>1478</v>
      </c>
      <c r="B500" t="s">
        <v>25</v>
      </c>
      <c r="C500" s="3" t="s">
        <v>1373</v>
      </c>
      <c r="D500" s="3">
        <f t="shared" si="63"/>
        <v>44901</v>
      </c>
      <c r="E500" t="s">
        <v>1479</v>
      </c>
      <c r="F500" s="4">
        <f t="shared" si="64"/>
        <v>0.75972222222222219</v>
      </c>
      <c r="G500" t="s">
        <v>254</v>
      </c>
      <c r="H500" t="s">
        <v>1480</v>
      </c>
      <c r="I500" t="str">
        <f t="shared" si="65"/>
        <v>Other</v>
      </c>
      <c r="J500" t="s">
        <v>31</v>
      </c>
      <c r="K500" t="s">
        <v>94</v>
      </c>
      <c r="L500">
        <f t="shared" si="66"/>
        <v>75.5</v>
      </c>
      <c r="M500" t="s">
        <v>838</v>
      </c>
      <c r="N500" t="str">
        <f t="shared" si="67"/>
        <v>Other</v>
      </c>
      <c r="O500" t="s">
        <v>34</v>
      </c>
      <c r="P500" t="str">
        <f t="shared" si="68"/>
        <v>Python</v>
      </c>
      <c r="Q500">
        <v>7</v>
      </c>
      <c r="R500">
        <v>9</v>
      </c>
      <c r="S500">
        <v>8</v>
      </c>
      <c r="T500">
        <v>8</v>
      </c>
      <c r="U500">
        <v>6</v>
      </c>
      <c r="V500">
        <v>6</v>
      </c>
      <c r="W500" t="s">
        <v>85</v>
      </c>
      <c r="X500" t="s">
        <v>70</v>
      </c>
      <c r="Y500" t="s">
        <v>37</v>
      </c>
      <c r="Z500">
        <v>36</v>
      </c>
      <c r="AA500" t="s">
        <v>38</v>
      </c>
      <c r="AB500" t="str">
        <f t="shared" si="69"/>
        <v>United States</v>
      </c>
      <c r="AC500" t="s">
        <v>240</v>
      </c>
      <c r="AD500" t="str">
        <f t="shared" si="70"/>
        <v>Masters</v>
      </c>
      <c r="AE500" t="s">
        <v>39</v>
      </c>
      <c r="AF500" t="str">
        <f t="shared" si="71"/>
        <v>White or Caucasian</v>
      </c>
    </row>
    <row r="501" spans="1:32" x14ac:dyDescent="0.45">
      <c r="A501" t="s">
        <v>1481</v>
      </c>
      <c r="B501" t="s">
        <v>25</v>
      </c>
      <c r="C501" s="3" t="s">
        <v>1373</v>
      </c>
      <c r="D501" s="3">
        <f t="shared" si="63"/>
        <v>44901</v>
      </c>
      <c r="E501" t="s">
        <v>1334</v>
      </c>
      <c r="F501" s="4">
        <f t="shared" si="64"/>
        <v>0.8125</v>
      </c>
      <c r="G501" t="s">
        <v>171</v>
      </c>
      <c r="H501" t="s">
        <v>255</v>
      </c>
      <c r="I501" t="str">
        <f t="shared" si="65"/>
        <v>Other</v>
      </c>
      <c r="J501" t="s">
        <v>31</v>
      </c>
      <c r="K501" t="s">
        <v>53</v>
      </c>
      <c r="L501">
        <f t="shared" si="66"/>
        <v>20</v>
      </c>
      <c r="M501" t="s">
        <v>1482</v>
      </c>
      <c r="N501" t="str">
        <f t="shared" si="67"/>
        <v>Other</v>
      </c>
      <c r="O501" t="s">
        <v>34</v>
      </c>
      <c r="P501" t="str">
        <f t="shared" si="68"/>
        <v>Python</v>
      </c>
      <c r="Q501">
        <v>1</v>
      </c>
      <c r="R501">
        <v>5</v>
      </c>
      <c r="S501">
        <v>10</v>
      </c>
      <c r="T501">
        <v>10</v>
      </c>
      <c r="U501">
        <v>8</v>
      </c>
      <c r="V501">
        <v>10</v>
      </c>
      <c r="W501" t="s">
        <v>85</v>
      </c>
      <c r="X501" t="s">
        <v>70</v>
      </c>
      <c r="Y501" t="s">
        <v>37</v>
      </c>
      <c r="Z501">
        <v>30</v>
      </c>
      <c r="AA501" t="s">
        <v>403</v>
      </c>
      <c r="AB501" t="str">
        <f t="shared" si="69"/>
        <v>Other</v>
      </c>
      <c r="AC501" t="s">
        <v>237</v>
      </c>
      <c r="AD501" t="str">
        <f t="shared" si="70"/>
        <v>Bachelors</v>
      </c>
      <c r="AE501" t="s">
        <v>91</v>
      </c>
      <c r="AF501" t="str">
        <f t="shared" si="71"/>
        <v>Hispanic or Latino</v>
      </c>
    </row>
    <row r="502" spans="1:32" x14ac:dyDescent="0.45">
      <c r="A502" t="s">
        <v>1483</v>
      </c>
      <c r="B502" t="s">
        <v>25</v>
      </c>
      <c r="C502" s="3" t="s">
        <v>1373</v>
      </c>
      <c r="D502" s="3">
        <f t="shared" si="63"/>
        <v>44901</v>
      </c>
      <c r="E502" t="s">
        <v>1484</v>
      </c>
      <c r="F502" s="4">
        <f t="shared" si="64"/>
        <v>0.88402777777777775</v>
      </c>
      <c r="G502" t="s">
        <v>1485</v>
      </c>
      <c r="H502" t="s">
        <v>1486</v>
      </c>
      <c r="I502" t="str">
        <f t="shared" si="65"/>
        <v>Other</v>
      </c>
      <c r="J502" t="s">
        <v>31</v>
      </c>
      <c r="K502" t="s">
        <v>53</v>
      </c>
      <c r="L502">
        <f t="shared" si="66"/>
        <v>20</v>
      </c>
      <c r="M502" t="s">
        <v>1487</v>
      </c>
      <c r="N502" t="str">
        <f t="shared" si="67"/>
        <v>Other</v>
      </c>
      <c r="O502" t="s">
        <v>34</v>
      </c>
      <c r="P502" t="str">
        <f t="shared" si="68"/>
        <v>Python</v>
      </c>
      <c r="Q502">
        <v>3</v>
      </c>
      <c r="R502">
        <v>3</v>
      </c>
      <c r="S502">
        <v>3</v>
      </c>
      <c r="T502">
        <v>2</v>
      </c>
      <c r="U502">
        <v>2</v>
      </c>
      <c r="V502">
        <v>2</v>
      </c>
      <c r="W502" t="s">
        <v>64</v>
      </c>
      <c r="X502" t="s">
        <v>56</v>
      </c>
      <c r="Y502" t="s">
        <v>37</v>
      </c>
      <c r="Z502">
        <v>48</v>
      </c>
      <c r="AA502" t="s">
        <v>1488</v>
      </c>
      <c r="AB502" t="str">
        <f t="shared" si="69"/>
        <v>Other</v>
      </c>
      <c r="AC502" t="s">
        <v>240</v>
      </c>
      <c r="AD502" t="str">
        <f t="shared" si="70"/>
        <v>Masters</v>
      </c>
      <c r="AE502" t="s">
        <v>1489</v>
      </c>
      <c r="AF502" t="str">
        <f t="shared" si="71"/>
        <v>Other</v>
      </c>
    </row>
    <row r="503" spans="1:32" x14ac:dyDescent="0.45">
      <c r="A503" t="s">
        <v>1490</v>
      </c>
      <c r="B503" t="s">
        <v>25</v>
      </c>
      <c r="C503" s="3" t="s">
        <v>1373</v>
      </c>
      <c r="D503" s="3">
        <f t="shared" si="63"/>
        <v>44901</v>
      </c>
      <c r="E503" t="s">
        <v>1055</v>
      </c>
      <c r="F503" s="4">
        <f t="shared" si="64"/>
        <v>0.93680555555555556</v>
      </c>
      <c r="G503" t="s">
        <v>1491</v>
      </c>
      <c r="H503" t="s">
        <v>30</v>
      </c>
      <c r="I503" t="str">
        <f t="shared" si="65"/>
        <v>Data Analyst</v>
      </c>
      <c r="J503" t="s">
        <v>31</v>
      </c>
      <c r="K503" t="s">
        <v>44</v>
      </c>
      <c r="L503">
        <f t="shared" si="66"/>
        <v>53</v>
      </c>
      <c r="M503" t="s">
        <v>113</v>
      </c>
      <c r="N503" t="str">
        <f t="shared" si="67"/>
        <v>Construction</v>
      </c>
      <c r="O503" t="s">
        <v>1492</v>
      </c>
      <c r="P503" t="str">
        <f t="shared" si="68"/>
        <v>Other</v>
      </c>
      <c r="Q503">
        <v>1</v>
      </c>
      <c r="R503">
        <v>4</v>
      </c>
      <c r="S503">
        <v>1</v>
      </c>
      <c r="T503">
        <v>2</v>
      </c>
      <c r="U503">
        <v>2</v>
      </c>
      <c r="V503">
        <v>3</v>
      </c>
      <c r="W503" t="s">
        <v>55</v>
      </c>
      <c r="X503" t="s">
        <v>70</v>
      </c>
      <c r="Y503" t="s">
        <v>65</v>
      </c>
      <c r="Z503">
        <v>30</v>
      </c>
      <c r="AA503" t="s">
        <v>47</v>
      </c>
      <c r="AB503" t="str">
        <f t="shared" si="69"/>
        <v>Canada</v>
      </c>
      <c r="AC503" t="s">
        <v>240</v>
      </c>
      <c r="AD503" t="str">
        <f t="shared" si="70"/>
        <v>Masters</v>
      </c>
      <c r="AE503" t="s">
        <v>48</v>
      </c>
      <c r="AF503" t="str">
        <f t="shared" si="71"/>
        <v>Asian or Asian American</v>
      </c>
    </row>
    <row r="504" spans="1:32" x14ac:dyDescent="0.45">
      <c r="A504" t="s">
        <v>1493</v>
      </c>
      <c r="B504" t="s">
        <v>25</v>
      </c>
      <c r="C504" s="3" t="s">
        <v>1373</v>
      </c>
      <c r="D504" s="3">
        <f t="shared" si="63"/>
        <v>44901</v>
      </c>
      <c r="E504" t="s">
        <v>1494</v>
      </c>
      <c r="F504" s="4">
        <f t="shared" si="64"/>
        <v>0.96944444444444444</v>
      </c>
      <c r="G504" t="s">
        <v>1495</v>
      </c>
      <c r="H504" t="s">
        <v>1496</v>
      </c>
      <c r="I504" t="str">
        <f t="shared" si="65"/>
        <v>Other</v>
      </c>
      <c r="J504" t="s">
        <v>43</v>
      </c>
      <c r="K504" t="s">
        <v>53</v>
      </c>
      <c r="L504">
        <f t="shared" si="66"/>
        <v>20</v>
      </c>
      <c r="M504" t="s">
        <v>90</v>
      </c>
      <c r="N504" t="str">
        <f t="shared" si="67"/>
        <v>Telecommunication</v>
      </c>
      <c r="O504" t="s">
        <v>34</v>
      </c>
      <c r="P504" t="str">
        <f t="shared" si="68"/>
        <v>Python</v>
      </c>
      <c r="Q504">
        <v>3</v>
      </c>
      <c r="R504">
        <v>8</v>
      </c>
      <c r="S504">
        <v>8</v>
      </c>
      <c r="T504">
        <v>5</v>
      </c>
      <c r="U504">
        <v>3</v>
      </c>
      <c r="V504">
        <v>5</v>
      </c>
      <c r="W504" t="s">
        <v>69</v>
      </c>
      <c r="X504" t="s">
        <v>70</v>
      </c>
      <c r="Y504" t="s">
        <v>37</v>
      </c>
      <c r="Z504">
        <v>28</v>
      </c>
      <c r="AA504" t="s">
        <v>147</v>
      </c>
      <c r="AB504" t="str">
        <f t="shared" si="69"/>
        <v>India</v>
      </c>
      <c r="AC504" t="s">
        <v>237</v>
      </c>
      <c r="AD504" t="str">
        <f t="shared" si="70"/>
        <v>Bachelors</v>
      </c>
      <c r="AE504" t="s">
        <v>1497</v>
      </c>
      <c r="AF504" t="str">
        <f t="shared" si="71"/>
        <v>Other</v>
      </c>
    </row>
    <row r="505" spans="1:32" x14ac:dyDescent="0.45">
      <c r="A505" t="s">
        <v>1498</v>
      </c>
      <c r="B505" t="s">
        <v>25</v>
      </c>
      <c r="C505" s="3" t="s">
        <v>1373</v>
      </c>
      <c r="D505" s="3">
        <f t="shared" si="63"/>
        <v>44901</v>
      </c>
      <c r="E505" t="s">
        <v>1085</v>
      </c>
      <c r="F505" s="4">
        <f t="shared" si="64"/>
        <v>0.98263888888888884</v>
      </c>
      <c r="G505" t="s">
        <v>254</v>
      </c>
      <c r="H505" t="s">
        <v>1499</v>
      </c>
      <c r="I505" t="str">
        <f t="shared" si="65"/>
        <v>Other</v>
      </c>
      <c r="J505" t="s">
        <v>43</v>
      </c>
      <c r="K505" t="s">
        <v>53</v>
      </c>
      <c r="L505">
        <f t="shared" si="66"/>
        <v>20</v>
      </c>
      <c r="M505" t="s">
        <v>103</v>
      </c>
      <c r="N505" t="str">
        <f t="shared" si="67"/>
        <v>Tech</v>
      </c>
      <c r="O505" t="s">
        <v>34</v>
      </c>
      <c r="P505" t="str">
        <f t="shared" si="68"/>
        <v>Python</v>
      </c>
      <c r="Q505">
        <v>5</v>
      </c>
      <c r="R505">
        <v>8</v>
      </c>
      <c r="S505">
        <v>7</v>
      </c>
      <c r="T505">
        <v>7</v>
      </c>
      <c r="U505">
        <v>3</v>
      </c>
      <c r="V505">
        <v>2</v>
      </c>
      <c r="W505" t="s">
        <v>69</v>
      </c>
      <c r="X505" t="s">
        <v>70</v>
      </c>
      <c r="Y505" t="s">
        <v>37</v>
      </c>
      <c r="Z505">
        <v>25</v>
      </c>
      <c r="AA505" t="s">
        <v>147</v>
      </c>
      <c r="AB505" t="str">
        <f t="shared" si="69"/>
        <v>India</v>
      </c>
      <c r="AC505" t="s">
        <v>237</v>
      </c>
      <c r="AD505" t="str">
        <f t="shared" si="70"/>
        <v>Bachelors</v>
      </c>
      <c r="AE505" t="s">
        <v>200</v>
      </c>
      <c r="AF505" t="str">
        <f t="shared" si="71"/>
        <v>Other</v>
      </c>
    </row>
    <row r="506" spans="1:32" x14ac:dyDescent="0.45">
      <c r="A506" t="s">
        <v>1500</v>
      </c>
      <c r="B506" t="s">
        <v>25</v>
      </c>
      <c r="C506" s="3" t="s">
        <v>1501</v>
      </c>
      <c r="D506" s="3" t="e">
        <f t="shared" si="63"/>
        <v>#VALUE!</v>
      </c>
      <c r="E506" t="s">
        <v>1102</v>
      </c>
      <c r="F506" s="4">
        <f t="shared" si="64"/>
        <v>1.8055555555555554E-2</v>
      </c>
      <c r="G506" t="s">
        <v>42</v>
      </c>
      <c r="H506" t="s">
        <v>625</v>
      </c>
      <c r="I506" t="str">
        <f t="shared" si="65"/>
        <v>Other</v>
      </c>
      <c r="J506" t="s">
        <v>43</v>
      </c>
      <c r="K506" t="s">
        <v>32</v>
      </c>
      <c r="L506">
        <f t="shared" si="66"/>
        <v>115.5</v>
      </c>
      <c r="M506" t="s">
        <v>103</v>
      </c>
      <c r="N506" t="str">
        <f t="shared" si="67"/>
        <v>Tech</v>
      </c>
      <c r="O506" t="s">
        <v>84</v>
      </c>
      <c r="P506" t="str">
        <f t="shared" si="68"/>
        <v>Other</v>
      </c>
      <c r="Q506">
        <v>6</v>
      </c>
      <c r="R506">
        <v>5</v>
      </c>
      <c r="S506">
        <v>4</v>
      </c>
      <c r="T506">
        <v>4</v>
      </c>
      <c r="U506">
        <v>3</v>
      </c>
      <c r="V506">
        <v>4</v>
      </c>
      <c r="W506" t="s">
        <v>55</v>
      </c>
      <c r="X506" t="s">
        <v>70</v>
      </c>
      <c r="Y506" t="s">
        <v>37</v>
      </c>
      <c r="Z506">
        <v>24</v>
      </c>
      <c r="AA506" t="s">
        <v>38</v>
      </c>
      <c r="AB506" t="str">
        <f t="shared" si="69"/>
        <v>United States</v>
      </c>
      <c r="AC506" t="s">
        <v>240</v>
      </c>
      <c r="AD506" t="str">
        <f t="shared" si="70"/>
        <v>Masters</v>
      </c>
      <c r="AE506" t="s">
        <v>1400</v>
      </c>
      <c r="AF506" t="str">
        <f t="shared" si="71"/>
        <v>American Indian or Alaska Native</v>
      </c>
    </row>
    <row r="507" spans="1:32" x14ac:dyDescent="0.45">
      <c r="A507" t="s">
        <v>1502</v>
      </c>
      <c r="B507" t="s">
        <v>25</v>
      </c>
      <c r="C507" s="3" t="s">
        <v>1501</v>
      </c>
      <c r="D507" s="3" t="e">
        <f t="shared" si="63"/>
        <v>#VALUE!</v>
      </c>
      <c r="E507" t="s">
        <v>1379</v>
      </c>
      <c r="F507" s="4">
        <f t="shared" si="64"/>
        <v>4.027777777777778E-2</v>
      </c>
      <c r="G507" t="s">
        <v>472</v>
      </c>
      <c r="H507" t="s">
        <v>30</v>
      </c>
      <c r="I507" t="str">
        <f t="shared" si="65"/>
        <v>Data Analyst</v>
      </c>
      <c r="J507" t="s">
        <v>31</v>
      </c>
      <c r="K507" t="s">
        <v>44</v>
      </c>
      <c r="L507">
        <f t="shared" si="66"/>
        <v>53</v>
      </c>
      <c r="M507" t="s">
        <v>917</v>
      </c>
      <c r="N507" t="str">
        <f t="shared" si="67"/>
        <v>Other</v>
      </c>
      <c r="O507" t="s">
        <v>34</v>
      </c>
      <c r="P507" t="str">
        <f t="shared" si="68"/>
        <v>Python</v>
      </c>
      <c r="Q507">
        <v>5</v>
      </c>
      <c r="R507">
        <v>10</v>
      </c>
      <c r="S507">
        <v>7</v>
      </c>
      <c r="T507">
        <v>7</v>
      </c>
      <c r="U507">
        <v>4</v>
      </c>
      <c r="V507">
        <v>8</v>
      </c>
      <c r="W507" t="s">
        <v>55</v>
      </c>
      <c r="X507" t="s">
        <v>70</v>
      </c>
      <c r="Y507" t="s">
        <v>37</v>
      </c>
      <c r="Z507">
        <v>31</v>
      </c>
      <c r="AA507" t="s">
        <v>38</v>
      </c>
      <c r="AB507" t="str">
        <f t="shared" si="69"/>
        <v>United States</v>
      </c>
      <c r="AC507" t="s">
        <v>237</v>
      </c>
      <c r="AD507" t="str">
        <f t="shared" si="70"/>
        <v>Bachelors</v>
      </c>
      <c r="AE507" t="s">
        <v>58</v>
      </c>
      <c r="AF507" t="str">
        <f t="shared" si="71"/>
        <v>Black or African American</v>
      </c>
    </row>
    <row r="508" spans="1:32" x14ac:dyDescent="0.45">
      <c r="A508" t="s">
        <v>1503</v>
      </c>
      <c r="B508" t="s">
        <v>25</v>
      </c>
      <c r="C508" s="3" t="s">
        <v>1501</v>
      </c>
      <c r="D508" s="3" t="e">
        <f t="shared" si="63"/>
        <v>#VALUE!</v>
      </c>
      <c r="E508" t="s">
        <v>1504</v>
      </c>
      <c r="F508" s="4">
        <f t="shared" si="64"/>
        <v>7.6388888888888895E-2</v>
      </c>
      <c r="G508" t="s">
        <v>141</v>
      </c>
      <c r="H508" t="s">
        <v>52</v>
      </c>
      <c r="I508" t="str">
        <f t="shared" si="65"/>
        <v>Data Engineer</v>
      </c>
      <c r="J508" t="s">
        <v>43</v>
      </c>
      <c r="K508" t="s">
        <v>53</v>
      </c>
      <c r="L508">
        <f t="shared" si="66"/>
        <v>20</v>
      </c>
      <c r="M508" t="s">
        <v>712</v>
      </c>
      <c r="N508" t="str">
        <f t="shared" si="67"/>
        <v>Real Estate</v>
      </c>
      <c r="O508" t="s">
        <v>34</v>
      </c>
      <c r="P508" t="str">
        <f t="shared" si="68"/>
        <v>Python</v>
      </c>
      <c r="Q508">
        <v>3</v>
      </c>
      <c r="R508">
        <v>3</v>
      </c>
      <c r="S508">
        <v>8</v>
      </c>
      <c r="T508">
        <v>9</v>
      </c>
      <c r="U508">
        <v>5</v>
      </c>
      <c r="V508">
        <v>3</v>
      </c>
      <c r="W508" t="s">
        <v>55</v>
      </c>
      <c r="X508" t="s">
        <v>70</v>
      </c>
      <c r="Y508" t="s">
        <v>37</v>
      </c>
      <c r="Z508">
        <v>23</v>
      </c>
      <c r="AA508" t="s">
        <v>109</v>
      </c>
      <c r="AB508" t="str">
        <f t="shared" si="69"/>
        <v>United Kingdom</v>
      </c>
      <c r="AC508" t="s">
        <v>237</v>
      </c>
      <c r="AD508" t="str">
        <f t="shared" si="70"/>
        <v>Bachelors</v>
      </c>
      <c r="AE508" t="s">
        <v>1505</v>
      </c>
      <c r="AF508" t="str">
        <f t="shared" si="71"/>
        <v>Other</v>
      </c>
    </row>
    <row r="509" spans="1:32" x14ac:dyDescent="0.45">
      <c r="A509" t="s">
        <v>1506</v>
      </c>
      <c r="B509" t="s">
        <v>25</v>
      </c>
      <c r="C509" s="3" t="s">
        <v>1501</v>
      </c>
      <c r="D509" s="3" t="e">
        <f t="shared" si="63"/>
        <v>#VALUE!</v>
      </c>
      <c r="E509" t="s">
        <v>1507</v>
      </c>
      <c r="F509" s="4">
        <f t="shared" si="64"/>
        <v>8.2638888888888887E-2</v>
      </c>
      <c r="G509" t="s">
        <v>854</v>
      </c>
      <c r="H509" t="s">
        <v>30</v>
      </c>
      <c r="I509" t="str">
        <f t="shared" si="65"/>
        <v>Data Analyst</v>
      </c>
      <c r="J509" t="s">
        <v>43</v>
      </c>
      <c r="K509" t="s">
        <v>44</v>
      </c>
      <c r="L509">
        <f t="shared" si="66"/>
        <v>53</v>
      </c>
      <c r="M509" t="s">
        <v>1508</v>
      </c>
      <c r="N509" t="str">
        <f t="shared" si="67"/>
        <v>Other</v>
      </c>
      <c r="O509" t="s">
        <v>533</v>
      </c>
      <c r="P509" t="str">
        <f t="shared" si="68"/>
        <v>Other</v>
      </c>
      <c r="Q509">
        <v>1</v>
      </c>
      <c r="R509">
        <v>4</v>
      </c>
      <c r="S509">
        <v>4</v>
      </c>
      <c r="T509">
        <v>1</v>
      </c>
      <c r="U509">
        <v>1</v>
      </c>
      <c r="V509">
        <v>4</v>
      </c>
      <c r="W509" t="s">
        <v>55</v>
      </c>
      <c r="X509" t="s">
        <v>114</v>
      </c>
      <c r="Y509" t="s">
        <v>65</v>
      </c>
      <c r="Z509">
        <v>48</v>
      </c>
      <c r="AA509" t="s">
        <v>109</v>
      </c>
      <c r="AB509" t="str">
        <f t="shared" si="69"/>
        <v>United Kingdom</v>
      </c>
      <c r="AC509" t="s">
        <v>240</v>
      </c>
      <c r="AD509" t="str">
        <f t="shared" si="70"/>
        <v>Masters</v>
      </c>
      <c r="AE509" t="s">
        <v>39</v>
      </c>
      <c r="AF509" t="str">
        <f t="shared" si="71"/>
        <v>White or Caucasian</v>
      </c>
    </row>
    <row r="510" spans="1:32" x14ac:dyDescent="0.45">
      <c r="A510" t="s">
        <v>1509</v>
      </c>
      <c r="B510" t="s">
        <v>25</v>
      </c>
      <c r="C510" s="3" t="s">
        <v>1501</v>
      </c>
      <c r="D510" s="3" t="e">
        <f t="shared" si="63"/>
        <v>#VALUE!</v>
      </c>
      <c r="E510" t="s">
        <v>1510</v>
      </c>
      <c r="F510" s="4">
        <f t="shared" si="64"/>
        <v>0.1111111111111111</v>
      </c>
      <c r="G510" t="s">
        <v>1237</v>
      </c>
      <c r="H510" t="s">
        <v>30</v>
      </c>
      <c r="I510" t="str">
        <f t="shared" si="65"/>
        <v>Data Analyst</v>
      </c>
      <c r="J510" t="s">
        <v>31</v>
      </c>
      <c r="K510" t="s">
        <v>94</v>
      </c>
      <c r="L510">
        <f t="shared" si="66"/>
        <v>75.5</v>
      </c>
      <c r="M510" t="s">
        <v>33</v>
      </c>
      <c r="N510" t="str">
        <f t="shared" si="67"/>
        <v>Healthcare</v>
      </c>
      <c r="O510" t="s">
        <v>34</v>
      </c>
      <c r="P510" t="str">
        <f t="shared" si="68"/>
        <v>Python</v>
      </c>
      <c r="Q510">
        <v>6</v>
      </c>
      <c r="R510">
        <v>9</v>
      </c>
      <c r="S510">
        <v>8</v>
      </c>
      <c r="T510">
        <v>8</v>
      </c>
      <c r="U510">
        <v>8</v>
      </c>
      <c r="V510">
        <v>7</v>
      </c>
      <c r="W510" t="s">
        <v>85</v>
      </c>
      <c r="X510" t="s">
        <v>70</v>
      </c>
      <c r="Y510" t="s">
        <v>37</v>
      </c>
      <c r="Z510">
        <v>28</v>
      </c>
      <c r="AA510" t="s">
        <v>38</v>
      </c>
      <c r="AB510" t="str">
        <f t="shared" si="69"/>
        <v>United States</v>
      </c>
      <c r="AC510" t="s">
        <v>237</v>
      </c>
      <c r="AD510" t="str">
        <f t="shared" si="70"/>
        <v>Bachelors</v>
      </c>
      <c r="AE510" t="s">
        <v>58</v>
      </c>
      <c r="AF510" t="str">
        <f t="shared" si="71"/>
        <v>Black or African American</v>
      </c>
    </row>
    <row r="511" spans="1:32" x14ac:dyDescent="0.45">
      <c r="A511" t="s">
        <v>1511</v>
      </c>
      <c r="B511" t="s">
        <v>25</v>
      </c>
      <c r="C511" s="3" t="s">
        <v>1501</v>
      </c>
      <c r="D511" s="3" t="e">
        <f t="shared" si="63"/>
        <v>#VALUE!</v>
      </c>
      <c r="E511" t="s">
        <v>1512</v>
      </c>
      <c r="F511" s="4">
        <f t="shared" si="64"/>
        <v>0.13055555555555556</v>
      </c>
      <c r="G511" t="s">
        <v>265</v>
      </c>
      <c r="H511" t="s">
        <v>30</v>
      </c>
      <c r="I511" t="str">
        <f t="shared" si="65"/>
        <v>Data Analyst</v>
      </c>
      <c r="J511" t="s">
        <v>31</v>
      </c>
      <c r="K511" t="s">
        <v>44</v>
      </c>
      <c r="L511">
        <f t="shared" si="66"/>
        <v>53</v>
      </c>
      <c r="M511" t="s">
        <v>83</v>
      </c>
      <c r="N511" t="str">
        <f t="shared" si="67"/>
        <v>Other</v>
      </c>
      <c r="O511" t="s">
        <v>34</v>
      </c>
      <c r="P511" t="str">
        <f t="shared" si="68"/>
        <v>Python</v>
      </c>
      <c r="Q511">
        <v>5</v>
      </c>
      <c r="R511">
        <v>7</v>
      </c>
      <c r="S511">
        <v>7</v>
      </c>
      <c r="T511">
        <v>7</v>
      </c>
      <c r="U511">
        <v>7</v>
      </c>
      <c r="V511">
        <v>7</v>
      </c>
      <c r="W511" t="s">
        <v>69</v>
      </c>
      <c r="X511" t="s">
        <v>70</v>
      </c>
      <c r="Y511" t="s">
        <v>37</v>
      </c>
      <c r="Z511">
        <v>32</v>
      </c>
      <c r="AA511" t="s">
        <v>109</v>
      </c>
      <c r="AB511" t="str">
        <f t="shared" si="69"/>
        <v>United Kingdom</v>
      </c>
      <c r="AC511" t="s">
        <v>240</v>
      </c>
      <c r="AD511" t="str">
        <f t="shared" si="70"/>
        <v>Masters</v>
      </c>
      <c r="AE511" t="s">
        <v>91</v>
      </c>
      <c r="AF511" t="str">
        <f t="shared" si="71"/>
        <v>Hispanic or Latino</v>
      </c>
    </row>
    <row r="512" spans="1:32" x14ac:dyDescent="0.45">
      <c r="A512" t="s">
        <v>1513</v>
      </c>
      <c r="B512" t="s">
        <v>25</v>
      </c>
      <c r="C512" s="3" t="s">
        <v>1501</v>
      </c>
      <c r="D512" s="3" t="e">
        <f t="shared" si="63"/>
        <v>#VALUE!</v>
      </c>
      <c r="E512" t="s">
        <v>1147</v>
      </c>
      <c r="F512" s="4">
        <f t="shared" si="64"/>
        <v>0.15277777777777779</v>
      </c>
      <c r="G512" t="s">
        <v>1514</v>
      </c>
      <c r="H512" t="s">
        <v>77</v>
      </c>
      <c r="I512" t="str">
        <f t="shared" si="65"/>
        <v>Data Scientist</v>
      </c>
      <c r="J512" t="s">
        <v>31</v>
      </c>
      <c r="K512" t="s">
        <v>44</v>
      </c>
      <c r="L512">
        <f t="shared" si="66"/>
        <v>53</v>
      </c>
      <c r="M512" t="s">
        <v>45</v>
      </c>
      <c r="N512" t="str">
        <f t="shared" si="67"/>
        <v>Finance</v>
      </c>
      <c r="O512" t="s">
        <v>34</v>
      </c>
      <c r="P512" t="str">
        <f t="shared" si="68"/>
        <v>Python</v>
      </c>
      <c r="Q512">
        <v>5</v>
      </c>
      <c r="R512">
        <v>7</v>
      </c>
      <c r="S512">
        <v>7</v>
      </c>
      <c r="T512">
        <v>4</v>
      </c>
      <c r="U512">
        <v>5</v>
      </c>
      <c r="V512">
        <v>7</v>
      </c>
      <c r="W512" t="s">
        <v>85</v>
      </c>
      <c r="X512" t="s">
        <v>70</v>
      </c>
      <c r="Y512" t="s">
        <v>37</v>
      </c>
      <c r="Z512">
        <v>30</v>
      </c>
      <c r="AA512" t="s">
        <v>1515</v>
      </c>
      <c r="AB512" t="str">
        <f t="shared" si="69"/>
        <v>Other</v>
      </c>
      <c r="AC512" t="s">
        <v>237</v>
      </c>
      <c r="AD512" t="str">
        <f t="shared" si="70"/>
        <v>Bachelors</v>
      </c>
      <c r="AE512" t="s">
        <v>48</v>
      </c>
      <c r="AF512" t="str">
        <f t="shared" si="71"/>
        <v>Asian or Asian American</v>
      </c>
    </row>
    <row r="513" spans="1:32" x14ac:dyDescent="0.45">
      <c r="A513" t="s">
        <v>1516</v>
      </c>
      <c r="B513" t="s">
        <v>25</v>
      </c>
      <c r="C513" s="3" t="s">
        <v>1501</v>
      </c>
      <c r="D513" s="3" t="e">
        <f t="shared" si="63"/>
        <v>#VALUE!</v>
      </c>
      <c r="E513" t="s">
        <v>1167</v>
      </c>
      <c r="F513" s="4">
        <f t="shared" si="64"/>
        <v>0.22569444444444445</v>
      </c>
      <c r="G513" t="s">
        <v>482</v>
      </c>
      <c r="H513" t="s">
        <v>30</v>
      </c>
      <c r="I513" t="str">
        <f t="shared" si="65"/>
        <v>Data Analyst</v>
      </c>
      <c r="J513" t="s">
        <v>31</v>
      </c>
      <c r="K513" t="s">
        <v>53</v>
      </c>
      <c r="L513">
        <f t="shared" si="66"/>
        <v>20</v>
      </c>
      <c r="M513" t="s">
        <v>151</v>
      </c>
      <c r="N513" t="str">
        <f t="shared" si="67"/>
        <v>Other</v>
      </c>
      <c r="O513" t="s">
        <v>34</v>
      </c>
      <c r="P513" t="str">
        <f t="shared" si="68"/>
        <v>Python</v>
      </c>
      <c r="Q513">
        <v>5</v>
      </c>
      <c r="R513">
        <v>5</v>
      </c>
      <c r="S513">
        <v>7</v>
      </c>
      <c r="T513">
        <v>7</v>
      </c>
      <c r="U513">
        <v>7</v>
      </c>
      <c r="V513">
        <v>8</v>
      </c>
      <c r="W513" t="s">
        <v>85</v>
      </c>
      <c r="X513" t="s">
        <v>56</v>
      </c>
      <c r="Y513" t="s">
        <v>37</v>
      </c>
      <c r="Z513">
        <v>32</v>
      </c>
      <c r="AA513" t="s">
        <v>1517</v>
      </c>
      <c r="AB513" t="str">
        <f t="shared" si="69"/>
        <v>Other</v>
      </c>
      <c r="AC513" t="s">
        <v>240</v>
      </c>
      <c r="AD513" t="str">
        <f t="shared" si="70"/>
        <v>Masters</v>
      </c>
      <c r="AE513" t="s">
        <v>39</v>
      </c>
      <c r="AF513" t="str">
        <f t="shared" si="71"/>
        <v>White or Caucasian</v>
      </c>
    </row>
    <row r="514" spans="1:32" x14ac:dyDescent="0.45">
      <c r="A514" t="s">
        <v>1518</v>
      </c>
      <c r="B514" t="s">
        <v>25</v>
      </c>
      <c r="C514" s="3" t="s">
        <v>1501</v>
      </c>
      <c r="D514" s="3" t="e">
        <f t="shared" si="63"/>
        <v>#VALUE!</v>
      </c>
      <c r="E514" t="s">
        <v>1519</v>
      </c>
      <c r="F514" s="4">
        <f t="shared" si="64"/>
        <v>0.23125000000000001</v>
      </c>
      <c r="G514" t="s">
        <v>1520</v>
      </c>
      <c r="H514" t="s">
        <v>30</v>
      </c>
      <c r="I514" t="str">
        <f t="shared" si="65"/>
        <v>Data Analyst</v>
      </c>
      <c r="J514" t="s">
        <v>31</v>
      </c>
      <c r="K514" t="s">
        <v>53</v>
      </c>
      <c r="L514">
        <f t="shared" si="66"/>
        <v>20</v>
      </c>
      <c r="M514" t="s">
        <v>103</v>
      </c>
      <c r="N514" t="str">
        <f t="shared" si="67"/>
        <v>Tech</v>
      </c>
      <c r="O514" t="s">
        <v>34</v>
      </c>
      <c r="P514" t="str">
        <f t="shared" si="68"/>
        <v>Python</v>
      </c>
      <c r="Q514">
        <v>0</v>
      </c>
      <c r="R514">
        <v>3</v>
      </c>
      <c r="S514">
        <v>0</v>
      </c>
      <c r="T514">
        <v>1</v>
      </c>
      <c r="U514">
        <v>0</v>
      </c>
      <c r="V514">
        <v>0</v>
      </c>
      <c r="W514" t="s">
        <v>55</v>
      </c>
      <c r="X514" t="s">
        <v>114</v>
      </c>
      <c r="Y514" t="s">
        <v>65</v>
      </c>
      <c r="Z514">
        <v>30</v>
      </c>
      <c r="AA514" t="s">
        <v>1521</v>
      </c>
      <c r="AB514" t="str">
        <f t="shared" si="69"/>
        <v>Other</v>
      </c>
      <c r="AC514" t="s">
        <v>240</v>
      </c>
      <c r="AD514" t="str">
        <f t="shared" si="70"/>
        <v>Masters</v>
      </c>
      <c r="AE514" t="s">
        <v>1522</v>
      </c>
      <c r="AF514" t="str">
        <f t="shared" si="71"/>
        <v>Other</v>
      </c>
    </row>
    <row r="515" spans="1:32" x14ac:dyDescent="0.45">
      <c r="A515" t="s">
        <v>1523</v>
      </c>
      <c r="B515" t="s">
        <v>25</v>
      </c>
      <c r="C515" s="3" t="s">
        <v>1501</v>
      </c>
      <c r="D515" s="3" t="e">
        <f t="shared" ref="D515:D578" si="72">DATEVALUE(C515)</f>
        <v>#VALUE!</v>
      </c>
      <c r="E515" t="s">
        <v>1524</v>
      </c>
      <c r="F515" s="4">
        <f t="shared" ref="F515:F578" si="73">TIMEVALUE(E515)</f>
        <v>0.25208333333333333</v>
      </c>
      <c r="G515" t="s">
        <v>1525</v>
      </c>
      <c r="H515" t="s">
        <v>30</v>
      </c>
      <c r="I515" t="str">
        <f t="shared" ref="I515:I578" si="74">IF(LEFT(H515,5)="Other","Other",IF(ISNUMBER(SEARCH("None",H515)),"None",H515))</f>
        <v>Data Analyst</v>
      </c>
      <c r="J515" t="s">
        <v>31</v>
      </c>
      <c r="K515" t="s">
        <v>53</v>
      </c>
      <c r="L515">
        <f t="shared" ref="L515:L578" si="75">(VALUE(SUBSTITUTE(LEFT(K515,FIND("-",K515)-1),"k","")) + VALUE(SUBSTITUTE(MID(K515,FIND("-",K515)+1,LEN(K515)),"k","")))/2</f>
        <v>20</v>
      </c>
      <c r="M515" t="s">
        <v>491</v>
      </c>
      <c r="N515" t="str">
        <f t="shared" ref="N515:N578" si="76">IF(LEFT(M515,5)="Other","Other",IF(ISNUMBER(SEARCH("None",M515)),"None",M515))</f>
        <v>Other</v>
      </c>
      <c r="O515" t="s">
        <v>34</v>
      </c>
      <c r="P515" t="str">
        <f t="shared" ref="P515:P578" si="77">IF(LEFT(O515,5)="Other","Other",IF(ISNUMBER(SEARCH("None",O515)),"None",O515))</f>
        <v>Python</v>
      </c>
      <c r="Q515">
        <v>4</v>
      </c>
      <c r="R515">
        <v>2</v>
      </c>
      <c r="S515">
        <v>5</v>
      </c>
      <c r="T515">
        <v>2</v>
      </c>
      <c r="U515">
        <v>4</v>
      </c>
      <c r="V515">
        <v>4</v>
      </c>
      <c r="W515" t="s">
        <v>85</v>
      </c>
      <c r="X515" t="s">
        <v>56</v>
      </c>
      <c r="Y515" t="s">
        <v>65</v>
      </c>
      <c r="Z515">
        <v>35</v>
      </c>
      <c r="AA515" t="s">
        <v>207</v>
      </c>
      <c r="AB515" t="str">
        <f t="shared" ref="AB515:AB578" si="78">IF(LEFT(AA515,5)="Other","Other",IF(ISNUMBER(SEARCH("None",AA515)),"None",AA515))</f>
        <v>Other</v>
      </c>
      <c r="AC515" t="s">
        <v>240</v>
      </c>
      <c r="AD515" t="str">
        <f t="shared" ref="AD515:AD578" si="79">IF(AC515="","none",AC515)</f>
        <v>Masters</v>
      </c>
      <c r="AE515" t="s">
        <v>39</v>
      </c>
      <c r="AF515" t="str">
        <f t="shared" ref="AF515:AF578" si="80">IF(LEFT(AE515,5)="Other","Other",IF(ISNUMBER(SEARCH("None",AE515)),"None",AE515))</f>
        <v>White or Caucasian</v>
      </c>
    </row>
    <row r="516" spans="1:32" x14ac:dyDescent="0.45">
      <c r="A516" t="s">
        <v>1526</v>
      </c>
      <c r="B516" t="s">
        <v>25</v>
      </c>
      <c r="C516" s="3" t="s">
        <v>1501</v>
      </c>
      <c r="D516" s="3" t="e">
        <f t="shared" si="72"/>
        <v>#VALUE!</v>
      </c>
      <c r="E516" t="s">
        <v>1527</v>
      </c>
      <c r="F516" s="4">
        <f t="shared" si="73"/>
        <v>0.29305555555555557</v>
      </c>
      <c r="G516" t="s">
        <v>809</v>
      </c>
      <c r="H516" t="s">
        <v>123</v>
      </c>
      <c r="I516" t="str">
        <f t="shared" si="74"/>
        <v>None</v>
      </c>
      <c r="J516" t="s">
        <v>31</v>
      </c>
      <c r="K516" t="s">
        <v>53</v>
      </c>
      <c r="L516">
        <f t="shared" si="75"/>
        <v>20</v>
      </c>
      <c r="M516" t="s">
        <v>103</v>
      </c>
      <c r="N516" t="str">
        <f t="shared" si="76"/>
        <v>Tech</v>
      </c>
      <c r="O516" t="s">
        <v>46</v>
      </c>
      <c r="P516" t="str">
        <f t="shared" si="77"/>
        <v>R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>
        <v>10</v>
      </c>
      <c r="W516" t="s">
        <v>55</v>
      </c>
      <c r="X516" t="s">
        <v>36</v>
      </c>
      <c r="Y516" t="s">
        <v>65</v>
      </c>
      <c r="Z516">
        <v>38</v>
      </c>
      <c r="AA516" t="s">
        <v>109</v>
      </c>
      <c r="AB516" t="str">
        <f t="shared" si="78"/>
        <v>United Kingdom</v>
      </c>
      <c r="AC516" t="s">
        <v>240</v>
      </c>
      <c r="AD516" t="str">
        <f t="shared" si="79"/>
        <v>Masters</v>
      </c>
      <c r="AE516" t="s">
        <v>58</v>
      </c>
      <c r="AF516" t="str">
        <f t="shared" si="80"/>
        <v>Black or African American</v>
      </c>
    </row>
    <row r="517" spans="1:32" x14ac:dyDescent="0.45">
      <c r="A517" t="s">
        <v>1528</v>
      </c>
      <c r="B517" t="s">
        <v>25</v>
      </c>
      <c r="C517" s="3" t="s">
        <v>1501</v>
      </c>
      <c r="D517" s="3" t="e">
        <f t="shared" si="72"/>
        <v>#VALUE!</v>
      </c>
      <c r="E517" t="s">
        <v>335</v>
      </c>
      <c r="F517" s="4">
        <f t="shared" si="73"/>
        <v>0.39097222222222222</v>
      </c>
      <c r="G517" t="s">
        <v>275</v>
      </c>
      <c r="H517" t="s">
        <v>1529</v>
      </c>
      <c r="I517" t="str">
        <f t="shared" si="74"/>
        <v>Other</v>
      </c>
      <c r="J517" t="s">
        <v>31</v>
      </c>
      <c r="K517" t="s">
        <v>94</v>
      </c>
      <c r="L517">
        <f t="shared" si="75"/>
        <v>75.5</v>
      </c>
      <c r="M517" t="s">
        <v>1530</v>
      </c>
      <c r="N517" t="str">
        <f t="shared" si="76"/>
        <v>Other</v>
      </c>
      <c r="O517" t="s">
        <v>34</v>
      </c>
      <c r="P517" t="str">
        <f t="shared" si="77"/>
        <v>Python</v>
      </c>
      <c r="Q517">
        <v>6</v>
      </c>
      <c r="R517">
        <v>6</v>
      </c>
      <c r="S517">
        <v>7</v>
      </c>
      <c r="T517">
        <v>7</v>
      </c>
      <c r="U517">
        <v>6</v>
      </c>
      <c r="V517">
        <v>7</v>
      </c>
      <c r="W517" t="s">
        <v>55</v>
      </c>
      <c r="X517" t="s">
        <v>114</v>
      </c>
      <c r="Y517" t="s">
        <v>65</v>
      </c>
      <c r="Z517">
        <v>30</v>
      </c>
      <c r="AA517" t="s">
        <v>38</v>
      </c>
      <c r="AB517" t="str">
        <f t="shared" si="78"/>
        <v>United States</v>
      </c>
      <c r="AC517" t="s">
        <v>240</v>
      </c>
      <c r="AD517" t="str">
        <f t="shared" si="79"/>
        <v>Masters</v>
      </c>
      <c r="AE517" t="s">
        <v>48</v>
      </c>
      <c r="AF517" t="str">
        <f t="shared" si="80"/>
        <v>Asian or Asian American</v>
      </c>
    </row>
    <row r="518" spans="1:32" x14ac:dyDescent="0.45">
      <c r="A518" t="s">
        <v>1531</v>
      </c>
      <c r="B518" t="s">
        <v>25</v>
      </c>
      <c r="C518" s="3" t="s">
        <v>1501</v>
      </c>
      <c r="D518" s="3" t="e">
        <f t="shared" si="72"/>
        <v>#VALUE!</v>
      </c>
      <c r="E518" t="s">
        <v>1532</v>
      </c>
      <c r="F518" s="4">
        <f t="shared" si="73"/>
        <v>0.39166666666666666</v>
      </c>
      <c r="G518" t="s">
        <v>467</v>
      </c>
      <c r="H518" t="s">
        <v>30</v>
      </c>
      <c r="I518" t="str">
        <f t="shared" si="74"/>
        <v>Data Analyst</v>
      </c>
      <c r="J518" t="s">
        <v>31</v>
      </c>
      <c r="K518" t="s">
        <v>44</v>
      </c>
      <c r="L518">
        <f t="shared" si="75"/>
        <v>53</v>
      </c>
      <c r="M518" t="s">
        <v>103</v>
      </c>
      <c r="N518" t="str">
        <f t="shared" si="76"/>
        <v>Tech</v>
      </c>
      <c r="O518" t="s">
        <v>34</v>
      </c>
      <c r="P518" t="str">
        <f t="shared" si="77"/>
        <v>Python</v>
      </c>
      <c r="Q518">
        <v>3</v>
      </c>
      <c r="R518">
        <v>3</v>
      </c>
      <c r="S518">
        <v>5</v>
      </c>
      <c r="T518">
        <v>4</v>
      </c>
      <c r="U518">
        <v>4</v>
      </c>
      <c r="V518">
        <v>4</v>
      </c>
      <c r="W518" t="s">
        <v>85</v>
      </c>
      <c r="X518" t="s">
        <v>70</v>
      </c>
      <c r="Y518" t="s">
        <v>37</v>
      </c>
      <c r="Z518">
        <v>48</v>
      </c>
      <c r="AA518" t="s">
        <v>38</v>
      </c>
      <c r="AB518" t="str">
        <f t="shared" si="78"/>
        <v>United States</v>
      </c>
      <c r="AC518" t="s">
        <v>237</v>
      </c>
      <c r="AD518" t="str">
        <f t="shared" si="79"/>
        <v>Bachelors</v>
      </c>
      <c r="AE518" t="s">
        <v>39</v>
      </c>
      <c r="AF518" t="str">
        <f t="shared" si="80"/>
        <v>White or Caucasian</v>
      </c>
    </row>
    <row r="519" spans="1:32" x14ac:dyDescent="0.45">
      <c r="A519" t="s">
        <v>1533</v>
      </c>
      <c r="B519" t="s">
        <v>25</v>
      </c>
      <c r="C519" s="3" t="s">
        <v>1501</v>
      </c>
      <c r="D519" s="3" t="e">
        <f t="shared" si="72"/>
        <v>#VALUE!</v>
      </c>
      <c r="E519" t="s">
        <v>374</v>
      </c>
      <c r="F519" s="4">
        <f t="shared" si="73"/>
        <v>0.3972222222222222</v>
      </c>
      <c r="G519" t="s">
        <v>467</v>
      </c>
      <c r="H519" t="s">
        <v>30</v>
      </c>
      <c r="I519" t="str">
        <f t="shared" si="74"/>
        <v>Data Analyst</v>
      </c>
      <c r="J519" t="s">
        <v>31</v>
      </c>
      <c r="K519" t="s">
        <v>94</v>
      </c>
      <c r="L519">
        <f t="shared" si="75"/>
        <v>75.5</v>
      </c>
      <c r="M519" t="s">
        <v>45</v>
      </c>
      <c r="N519" t="str">
        <f t="shared" si="76"/>
        <v>Finance</v>
      </c>
      <c r="O519" t="s">
        <v>1534</v>
      </c>
      <c r="P519" t="str">
        <f t="shared" si="77"/>
        <v>Other</v>
      </c>
      <c r="Q519">
        <v>5</v>
      </c>
      <c r="R519">
        <v>8</v>
      </c>
      <c r="S519">
        <v>5</v>
      </c>
      <c r="T519">
        <v>5</v>
      </c>
      <c r="U519">
        <v>5</v>
      </c>
      <c r="V519">
        <v>4</v>
      </c>
      <c r="W519" t="s">
        <v>55</v>
      </c>
      <c r="X519" t="s">
        <v>36</v>
      </c>
      <c r="Y519" t="s">
        <v>37</v>
      </c>
      <c r="Z519">
        <v>32</v>
      </c>
      <c r="AA519" t="s">
        <v>47</v>
      </c>
      <c r="AB519" t="str">
        <f t="shared" si="78"/>
        <v>Canada</v>
      </c>
      <c r="AC519" t="s">
        <v>240</v>
      </c>
      <c r="AD519" t="str">
        <f t="shared" si="79"/>
        <v>Masters</v>
      </c>
      <c r="AE519" t="s">
        <v>48</v>
      </c>
      <c r="AF519" t="str">
        <f t="shared" si="80"/>
        <v>Asian or Asian American</v>
      </c>
    </row>
    <row r="520" spans="1:32" x14ac:dyDescent="0.45">
      <c r="A520" t="s">
        <v>1535</v>
      </c>
      <c r="B520" t="s">
        <v>25</v>
      </c>
      <c r="C520" s="3" t="s">
        <v>1501</v>
      </c>
      <c r="D520" s="3" t="e">
        <f t="shared" si="72"/>
        <v>#VALUE!</v>
      </c>
      <c r="E520" t="s">
        <v>1435</v>
      </c>
      <c r="F520" s="4">
        <f t="shared" si="73"/>
        <v>0.4375</v>
      </c>
      <c r="G520" t="s">
        <v>1536</v>
      </c>
      <c r="H520" t="s">
        <v>1537</v>
      </c>
      <c r="I520" t="str">
        <f t="shared" si="74"/>
        <v>Other</v>
      </c>
      <c r="J520" t="s">
        <v>31</v>
      </c>
      <c r="K520" t="s">
        <v>44</v>
      </c>
      <c r="L520">
        <f t="shared" si="75"/>
        <v>53</v>
      </c>
      <c r="M520" t="s">
        <v>90</v>
      </c>
      <c r="N520" t="str">
        <f t="shared" si="76"/>
        <v>Telecommunication</v>
      </c>
      <c r="O520" t="s">
        <v>34</v>
      </c>
      <c r="P520" t="str">
        <f t="shared" si="77"/>
        <v>Python</v>
      </c>
      <c r="Q520">
        <v>4</v>
      </c>
      <c r="R520">
        <v>5</v>
      </c>
      <c r="S520">
        <v>4</v>
      </c>
      <c r="T520">
        <v>5</v>
      </c>
      <c r="U520">
        <v>5</v>
      </c>
      <c r="V520">
        <v>6</v>
      </c>
      <c r="W520" t="s">
        <v>69</v>
      </c>
      <c r="X520" t="s">
        <v>56</v>
      </c>
      <c r="Y520" t="s">
        <v>37</v>
      </c>
      <c r="Z520">
        <v>27</v>
      </c>
      <c r="AA520" t="s">
        <v>147</v>
      </c>
      <c r="AB520" t="str">
        <f t="shared" si="78"/>
        <v>India</v>
      </c>
      <c r="AC520" t="s">
        <v>237</v>
      </c>
      <c r="AD520" t="str">
        <f t="shared" si="79"/>
        <v>Bachelors</v>
      </c>
      <c r="AE520" t="s">
        <v>1400</v>
      </c>
      <c r="AF520" t="str">
        <f t="shared" si="80"/>
        <v>American Indian or Alaska Native</v>
      </c>
    </row>
    <row r="521" spans="1:32" x14ac:dyDescent="0.45">
      <c r="A521" t="s">
        <v>1538</v>
      </c>
      <c r="B521" t="s">
        <v>25</v>
      </c>
      <c r="C521" s="3" t="s">
        <v>1501</v>
      </c>
      <c r="D521" s="3" t="e">
        <f t="shared" si="72"/>
        <v>#VALUE!</v>
      </c>
      <c r="E521" t="s">
        <v>1539</v>
      </c>
      <c r="F521" s="4">
        <f t="shared" si="73"/>
        <v>0.45</v>
      </c>
      <c r="G521" t="s">
        <v>157</v>
      </c>
      <c r="H521" t="s">
        <v>1540</v>
      </c>
      <c r="I521" t="str">
        <f t="shared" si="74"/>
        <v>Other</v>
      </c>
      <c r="J521" t="s">
        <v>43</v>
      </c>
      <c r="K521" t="s">
        <v>44</v>
      </c>
      <c r="L521">
        <f t="shared" si="75"/>
        <v>53</v>
      </c>
      <c r="M521" t="s">
        <v>103</v>
      </c>
      <c r="N521" t="str">
        <f t="shared" si="76"/>
        <v>Tech</v>
      </c>
      <c r="O521" t="s">
        <v>34</v>
      </c>
      <c r="P521" t="str">
        <f t="shared" si="77"/>
        <v>Python</v>
      </c>
      <c r="Q521">
        <v>7</v>
      </c>
      <c r="R521">
        <v>9</v>
      </c>
      <c r="S521">
        <v>5</v>
      </c>
      <c r="T521">
        <v>6</v>
      </c>
      <c r="U521">
        <v>6</v>
      </c>
      <c r="V521">
        <v>7</v>
      </c>
      <c r="W521" t="s">
        <v>55</v>
      </c>
      <c r="X521" t="s">
        <v>1541</v>
      </c>
      <c r="Y521" t="s">
        <v>37</v>
      </c>
      <c r="Z521">
        <v>27</v>
      </c>
      <c r="AA521" t="s">
        <v>109</v>
      </c>
      <c r="AB521" t="str">
        <f t="shared" si="78"/>
        <v>United Kingdom</v>
      </c>
      <c r="AC521" t="s">
        <v>240</v>
      </c>
      <c r="AD521" t="str">
        <f t="shared" si="79"/>
        <v>Masters</v>
      </c>
      <c r="AE521" t="s">
        <v>39</v>
      </c>
      <c r="AF521" t="str">
        <f t="shared" si="80"/>
        <v>White or Caucasian</v>
      </c>
    </row>
    <row r="522" spans="1:32" x14ac:dyDescent="0.45">
      <c r="A522" t="s">
        <v>1542</v>
      </c>
      <c r="B522" t="s">
        <v>25</v>
      </c>
      <c r="C522" s="3" t="s">
        <v>1501</v>
      </c>
      <c r="D522" s="3" t="e">
        <f t="shared" si="72"/>
        <v>#VALUE!</v>
      </c>
      <c r="E522" t="s">
        <v>1543</v>
      </c>
      <c r="F522" s="4">
        <f t="shared" si="73"/>
        <v>0.47916666666666669</v>
      </c>
      <c r="G522" t="s">
        <v>514</v>
      </c>
      <c r="H522" t="s">
        <v>123</v>
      </c>
      <c r="I522" t="str">
        <f t="shared" si="74"/>
        <v>None</v>
      </c>
      <c r="J522" t="s">
        <v>43</v>
      </c>
      <c r="K522" t="s">
        <v>53</v>
      </c>
      <c r="L522">
        <f t="shared" si="75"/>
        <v>20</v>
      </c>
      <c r="M522" t="s">
        <v>45</v>
      </c>
      <c r="N522" t="str">
        <f t="shared" si="76"/>
        <v>Finance</v>
      </c>
      <c r="O522" t="s">
        <v>34</v>
      </c>
      <c r="P522" t="str">
        <f t="shared" si="77"/>
        <v>Python</v>
      </c>
      <c r="Q522">
        <v>8</v>
      </c>
      <c r="R522">
        <v>7</v>
      </c>
      <c r="S522">
        <v>6</v>
      </c>
      <c r="T522">
        <v>7</v>
      </c>
      <c r="U522">
        <v>8</v>
      </c>
      <c r="V522">
        <v>10</v>
      </c>
      <c r="W522" t="s">
        <v>85</v>
      </c>
      <c r="X522" t="s">
        <v>36</v>
      </c>
      <c r="Y522" t="s">
        <v>37</v>
      </c>
      <c r="Z522">
        <v>24</v>
      </c>
      <c r="AA522" t="s">
        <v>1544</v>
      </c>
      <c r="AB522" t="str">
        <f t="shared" si="78"/>
        <v>Other</v>
      </c>
      <c r="AC522" t="s">
        <v>237</v>
      </c>
      <c r="AD522" t="str">
        <f t="shared" si="79"/>
        <v>Bachelors</v>
      </c>
      <c r="AE522" t="s">
        <v>161</v>
      </c>
      <c r="AF522" t="str">
        <f t="shared" si="80"/>
        <v>Other</v>
      </c>
    </row>
    <row r="523" spans="1:32" x14ac:dyDescent="0.45">
      <c r="A523" t="s">
        <v>1545</v>
      </c>
      <c r="B523" t="s">
        <v>25</v>
      </c>
      <c r="C523" s="3" t="s">
        <v>1501</v>
      </c>
      <c r="D523" s="3" t="e">
        <f t="shared" si="72"/>
        <v>#VALUE!</v>
      </c>
      <c r="E523" t="s">
        <v>636</v>
      </c>
      <c r="F523" s="4">
        <f t="shared" si="73"/>
        <v>0.4861111111111111</v>
      </c>
      <c r="G523" t="s">
        <v>1059</v>
      </c>
      <c r="H523" t="s">
        <v>77</v>
      </c>
      <c r="I523" t="str">
        <f t="shared" si="74"/>
        <v>Data Scientist</v>
      </c>
      <c r="J523" t="s">
        <v>31</v>
      </c>
      <c r="K523" t="s">
        <v>63</v>
      </c>
      <c r="L523">
        <f t="shared" si="75"/>
        <v>187.5</v>
      </c>
      <c r="M523" t="s">
        <v>45</v>
      </c>
      <c r="N523" t="str">
        <f t="shared" si="76"/>
        <v>Finance</v>
      </c>
      <c r="O523" t="s">
        <v>46</v>
      </c>
      <c r="P523" t="str">
        <f t="shared" si="77"/>
        <v>R</v>
      </c>
      <c r="Q523">
        <v>9</v>
      </c>
      <c r="R523">
        <v>9</v>
      </c>
      <c r="S523">
        <v>9</v>
      </c>
      <c r="T523">
        <v>9</v>
      </c>
      <c r="U523">
        <v>8</v>
      </c>
      <c r="V523">
        <v>8</v>
      </c>
      <c r="W523" t="s">
        <v>69</v>
      </c>
      <c r="X523" t="s">
        <v>70</v>
      </c>
      <c r="Y523" t="s">
        <v>37</v>
      </c>
      <c r="Z523">
        <v>42</v>
      </c>
      <c r="AA523" t="s">
        <v>38</v>
      </c>
      <c r="AB523" t="str">
        <f t="shared" si="78"/>
        <v>United States</v>
      </c>
      <c r="AC523" t="s">
        <v>324</v>
      </c>
      <c r="AD523" t="str">
        <f t="shared" si="79"/>
        <v>PhD</v>
      </c>
      <c r="AE523" t="s">
        <v>48</v>
      </c>
      <c r="AF523" t="str">
        <f t="shared" si="80"/>
        <v>Asian or Asian American</v>
      </c>
    </row>
    <row r="524" spans="1:32" x14ac:dyDescent="0.45">
      <c r="A524" t="s">
        <v>1546</v>
      </c>
      <c r="B524" t="s">
        <v>25</v>
      </c>
      <c r="C524" s="3" t="s">
        <v>1501</v>
      </c>
      <c r="D524" s="3" t="e">
        <f t="shared" si="72"/>
        <v>#VALUE!</v>
      </c>
      <c r="E524" t="s">
        <v>1547</v>
      </c>
      <c r="F524" s="4">
        <f t="shared" si="73"/>
        <v>0.49930555555555556</v>
      </c>
      <c r="G524" t="s">
        <v>690</v>
      </c>
      <c r="H524" t="s">
        <v>266</v>
      </c>
      <c r="I524" t="str">
        <f t="shared" si="74"/>
        <v>Other</v>
      </c>
      <c r="J524" t="s">
        <v>43</v>
      </c>
      <c r="K524" t="s">
        <v>44</v>
      </c>
      <c r="L524">
        <f t="shared" si="75"/>
        <v>53</v>
      </c>
      <c r="M524" t="s">
        <v>103</v>
      </c>
      <c r="N524" t="str">
        <f t="shared" si="76"/>
        <v>Tech</v>
      </c>
      <c r="O524" t="s">
        <v>34</v>
      </c>
      <c r="P524" t="str">
        <f t="shared" si="77"/>
        <v>Python</v>
      </c>
      <c r="Q524">
        <v>8</v>
      </c>
      <c r="R524">
        <v>6</v>
      </c>
      <c r="S524">
        <v>6</v>
      </c>
      <c r="T524">
        <v>8</v>
      </c>
      <c r="U524">
        <v>7</v>
      </c>
      <c r="V524">
        <v>8</v>
      </c>
      <c r="W524" t="s">
        <v>85</v>
      </c>
      <c r="X524" t="s">
        <v>70</v>
      </c>
      <c r="Y524" t="s">
        <v>37</v>
      </c>
      <c r="Z524">
        <v>24</v>
      </c>
      <c r="AA524" t="s">
        <v>38</v>
      </c>
      <c r="AB524" t="str">
        <f t="shared" si="78"/>
        <v>United States</v>
      </c>
      <c r="AC524" t="s">
        <v>237</v>
      </c>
      <c r="AD524" t="str">
        <f t="shared" si="79"/>
        <v>Bachelors</v>
      </c>
      <c r="AE524" t="s">
        <v>91</v>
      </c>
      <c r="AF524" t="str">
        <f t="shared" si="80"/>
        <v>Hispanic or Latino</v>
      </c>
    </row>
    <row r="525" spans="1:32" x14ac:dyDescent="0.45">
      <c r="A525" t="s">
        <v>1548</v>
      </c>
      <c r="B525" t="s">
        <v>25</v>
      </c>
      <c r="C525" s="3" t="s">
        <v>1501</v>
      </c>
      <c r="D525" s="3" t="e">
        <f t="shared" si="72"/>
        <v>#VALUE!</v>
      </c>
      <c r="E525" t="s">
        <v>1549</v>
      </c>
      <c r="F525" s="4">
        <f t="shared" si="73"/>
        <v>0.5</v>
      </c>
      <c r="G525" t="s">
        <v>331</v>
      </c>
      <c r="H525" t="s">
        <v>790</v>
      </c>
      <c r="I525" t="str">
        <f t="shared" si="74"/>
        <v>Database Developer</v>
      </c>
      <c r="J525" t="s">
        <v>31</v>
      </c>
      <c r="K525" t="s">
        <v>53</v>
      </c>
      <c r="L525">
        <f t="shared" si="75"/>
        <v>20</v>
      </c>
      <c r="M525" t="s">
        <v>103</v>
      </c>
      <c r="N525" t="str">
        <f t="shared" si="76"/>
        <v>Tech</v>
      </c>
      <c r="O525" t="s">
        <v>34</v>
      </c>
      <c r="P525" t="str">
        <f t="shared" si="77"/>
        <v>Python</v>
      </c>
      <c r="Q525">
        <v>5</v>
      </c>
      <c r="R525">
        <v>9</v>
      </c>
      <c r="S525">
        <v>7</v>
      </c>
      <c r="T525">
        <v>7</v>
      </c>
      <c r="U525">
        <v>6</v>
      </c>
      <c r="V525">
        <v>9</v>
      </c>
      <c r="W525" t="s">
        <v>55</v>
      </c>
      <c r="X525" t="s">
        <v>70</v>
      </c>
      <c r="Y525" t="s">
        <v>37</v>
      </c>
      <c r="Z525">
        <v>23</v>
      </c>
      <c r="AA525" t="s">
        <v>147</v>
      </c>
      <c r="AB525" t="str">
        <f t="shared" si="78"/>
        <v>India</v>
      </c>
      <c r="AC525" t="s">
        <v>237</v>
      </c>
      <c r="AD525" t="str">
        <f t="shared" si="79"/>
        <v>Bachelors</v>
      </c>
      <c r="AE525" t="s">
        <v>48</v>
      </c>
      <c r="AF525" t="str">
        <f t="shared" si="80"/>
        <v>Asian or Asian American</v>
      </c>
    </row>
    <row r="526" spans="1:32" x14ac:dyDescent="0.45">
      <c r="A526" t="s">
        <v>1550</v>
      </c>
      <c r="B526" t="s">
        <v>25</v>
      </c>
      <c r="C526" s="3" t="s">
        <v>1501</v>
      </c>
      <c r="D526" s="3" t="e">
        <f t="shared" si="72"/>
        <v>#VALUE!</v>
      </c>
      <c r="E526" t="s">
        <v>706</v>
      </c>
      <c r="F526" s="4">
        <f t="shared" si="73"/>
        <v>0.51736111111111116</v>
      </c>
      <c r="G526" t="s">
        <v>128</v>
      </c>
      <c r="H526" t="s">
        <v>30</v>
      </c>
      <c r="I526" t="str">
        <f t="shared" si="74"/>
        <v>Data Analyst</v>
      </c>
      <c r="J526" t="s">
        <v>43</v>
      </c>
      <c r="K526" t="s">
        <v>53</v>
      </c>
      <c r="L526">
        <f t="shared" si="75"/>
        <v>20</v>
      </c>
      <c r="M526" t="s">
        <v>103</v>
      </c>
      <c r="N526" t="str">
        <f t="shared" si="76"/>
        <v>Tech</v>
      </c>
      <c r="O526" t="s">
        <v>34</v>
      </c>
      <c r="P526" t="str">
        <f t="shared" si="77"/>
        <v>Python</v>
      </c>
      <c r="Q526">
        <v>7</v>
      </c>
      <c r="R526">
        <v>9</v>
      </c>
      <c r="S526">
        <v>8</v>
      </c>
      <c r="T526">
        <v>8</v>
      </c>
      <c r="U526">
        <v>4</v>
      </c>
      <c r="V526">
        <v>2</v>
      </c>
      <c r="W526" t="s">
        <v>85</v>
      </c>
      <c r="X526" t="s">
        <v>70</v>
      </c>
      <c r="Y526" t="s">
        <v>37</v>
      </c>
      <c r="Z526">
        <v>26</v>
      </c>
      <c r="AA526" t="s">
        <v>147</v>
      </c>
      <c r="AB526" t="str">
        <f t="shared" si="78"/>
        <v>India</v>
      </c>
      <c r="AC526" t="s">
        <v>237</v>
      </c>
      <c r="AD526" t="str">
        <f t="shared" si="79"/>
        <v>Bachelors</v>
      </c>
      <c r="AE526" t="s">
        <v>48</v>
      </c>
      <c r="AF526" t="str">
        <f t="shared" si="80"/>
        <v>Asian or Asian American</v>
      </c>
    </row>
    <row r="527" spans="1:32" x14ac:dyDescent="0.45">
      <c r="A527" t="s">
        <v>1551</v>
      </c>
      <c r="B527" t="s">
        <v>25</v>
      </c>
      <c r="C527" s="3" t="s">
        <v>1501</v>
      </c>
      <c r="D527" s="3" t="e">
        <f t="shared" si="72"/>
        <v>#VALUE!</v>
      </c>
      <c r="E527" t="s">
        <v>727</v>
      </c>
      <c r="F527" s="4">
        <f t="shared" si="73"/>
        <v>0.5395833333333333</v>
      </c>
      <c r="G527" t="s">
        <v>646</v>
      </c>
      <c r="H527" t="s">
        <v>30</v>
      </c>
      <c r="I527" t="str">
        <f t="shared" si="74"/>
        <v>Data Analyst</v>
      </c>
      <c r="J527" t="s">
        <v>43</v>
      </c>
      <c r="K527" t="s">
        <v>44</v>
      </c>
      <c r="L527">
        <f t="shared" si="75"/>
        <v>53</v>
      </c>
      <c r="M527" t="s">
        <v>1552</v>
      </c>
      <c r="N527" t="str">
        <f t="shared" si="76"/>
        <v>Other</v>
      </c>
      <c r="O527" t="s">
        <v>84</v>
      </c>
      <c r="P527" t="str">
        <f t="shared" si="77"/>
        <v>Other</v>
      </c>
      <c r="Q527">
        <v>5</v>
      </c>
      <c r="R527">
        <v>6</v>
      </c>
      <c r="S527">
        <v>6</v>
      </c>
      <c r="T527">
        <v>2</v>
      </c>
      <c r="U527">
        <v>2</v>
      </c>
      <c r="V527">
        <v>3</v>
      </c>
      <c r="W527" t="s">
        <v>85</v>
      </c>
      <c r="X527" t="s">
        <v>70</v>
      </c>
      <c r="Y527" t="s">
        <v>37</v>
      </c>
      <c r="Z527">
        <v>32</v>
      </c>
      <c r="AA527" t="s">
        <v>267</v>
      </c>
      <c r="AB527" t="str">
        <f t="shared" si="78"/>
        <v>Other</v>
      </c>
      <c r="AC527" t="s">
        <v>237</v>
      </c>
      <c r="AD527" t="str">
        <f t="shared" si="79"/>
        <v>Bachelors</v>
      </c>
      <c r="AE527" t="s">
        <v>58</v>
      </c>
      <c r="AF527" t="str">
        <f t="shared" si="80"/>
        <v>Black or African American</v>
      </c>
    </row>
    <row r="528" spans="1:32" x14ac:dyDescent="0.45">
      <c r="A528" t="s">
        <v>1553</v>
      </c>
      <c r="B528" t="s">
        <v>25</v>
      </c>
      <c r="C528" s="3" t="s">
        <v>1501</v>
      </c>
      <c r="D528" s="3" t="e">
        <f t="shared" si="72"/>
        <v>#VALUE!</v>
      </c>
      <c r="E528" t="s">
        <v>1554</v>
      </c>
      <c r="F528" s="4">
        <f t="shared" si="73"/>
        <v>0.55833333333333335</v>
      </c>
      <c r="G528" t="s">
        <v>703</v>
      </c>
      <c r="H528" t="s">
        <v>1555</v>
      </c>
      <c r="I528" t="str">
        <f t="shared" si="74"/>
        <v>Other</v>
      </c>
      <c r="J528" t="s">
        <v>43</v>
      </c>
      <c r="K528" t="s">
        <v>53</v>
      </c>
      <c r="L528">
        <f t="shared" si="75"/>
        <v>20</v>
      </c>
      <c r="M528" t="s">
        <v>90</v>
      </c>
      <c r="N528" t="str">
        <f t="shared" si="76"/>
        <v>Telecommunication</v>
      </c>
      <c r="O528" t="s">
        <v>34</v>
      </c>
      <c r="P528" t="str">
        <f t="shared" si="77"/>
        <v>Python</v>
      </c>
      <c r="Q528">
        <v>4</v>
      </c>
      <c r="R528">
        <v>3</v>
      </c>
      <c r="S528">
        <v>2</v>
      </c>
      <c r="T528">
        <v>0</v>
      </c>
      <c r="U528">
        <v>0</v>
      </c>
      <c r="V528">
        <v>0</v>
      </c>
      <c r="W528" t="s">
        <v>85</v>
      </c>
      <c r="X528" t="s">
        <v>56</v>
      </c>
      <c r="Y528" t="s">
        <v>37</v>
      </c>
      <c r="Z528">
        <v>35</v>
      </c>
      <c r="AA528" t="s">
        <v>1556</v>
      </c>
      <c r="AB528" t="str">
        <f t="shared" si="78"/>
        <v>Other</v>
      </c>
      <c r="AC528" t="s">
        <v>237</v>
      </c>
      <c r="AD528" t="str">
        <f t="shared" si="79"/>
        <v>Bachelors</v>
      </c>
      <c r="AE528" t="s">
        <v>39</v>
      </c>
      <c r="AF528" t="str">
        <f t="shared" si="80"/>
        <v>White or Caucasian</v>
      </c>
    </row>
    <row r="529" spans="1:32" x14ac:dyDescent="0.45">
      <c r="A529" t="s">
        <v>1557</v>
      </c>
      <c r="B529" t="s">
        <v>25</v>
      </c>
      <c r="C529" s="3" t="s">
        <v>1501</v>
      </c>
      <c r="D529" s="3" t="e">
        <f t="shared" si="72"/>
        <v>#VALUE!</v>
      </c>
      <c r="E529" t="s">
        <v>1279</v>
      </c>
      <c r="F529" s="4">
        <f t="shared" si="73"/>
        <v>0.56041666666666667</v>
      </c>
      <c r="G529" t="s">
        <v>239</v>
      </c>
      <c r="H529" t="s">
        <v>30</v>
      </c>
      <c r="I529" t="str">
        <f t="shared" si="74"/>
        <v>Data Analyst</v>
      </c>
      <c r="J529" t="s">
        <v>31</v>
      </c>
      <c r="K529" t="s">
        <v>32</v>
      </c>
      <c r="L529">
        <f t="shared" si="75"/>
        <v>115.5</v>
      </c>
      <c r="M529" t="s">
        <v>33</v>
      </c>
      <c r="N529" t="str">
        <f t="shared" si="76"/>
        <v>Healthcare</v>
      </c>
      <c r="O529" t="s">
        <v>34</v>
      </c>
      <c r="P529" t="str">
        <f t="shared" si="77"/>
        <v>Python</v>
      </c>
      <c r="Q529">
        <v>4</v>
      </c>
      <c r="R529">
        <v>3</v>
      </c>
      <c r="S529">
        <v>4</v>
      </c>
      <c r="T529">
        <v>2</v>
      </c>
      <c r="U529">
        <v>2</v>
      </c>
      <c r="V529">
        <v>2</v>
      </c>
      <c r="W529" t="s">
        <v>55</v>
      </c>
      <c r="X529" t="s">
        <v>56</v>
      </c>
      <c r="Y529" t="s">
        <v>37</v>
      </c>
      <c r="Z529">
        <v>41</v>
      </c>
      <c r="AA529" t="s">
        <v>38</v>
      </c>
      <c r="AB529" t="str">
        <f t="shared" si="78"/>
        <v>United States</v>
      </c>
      <c r="AC529" t="s">
        <v>227</v>
      </c>
      <c r="AD529" t="str">
        <f t="shared" si="79"/>
        <v>High School</v>
      </c>
      <c r="AE529" t="s">
        <v>39</v>
      </c>
      <c r="AF529" t="str">
        <f t="shared" si="80"/>
        <v>White or Caucasian</v>
      </c>
    </row>
    <row r="530" spans="1:32" x14ac:dyDescent="0.45">
      <c r="A530" t="s">
        <v>1558</v>
      </c>
      <c r="B530" t="s">
        <v>25</v>
      </c>
      <c r="C530" s="3" t="s">
        <v>1501</v>
      </c>
      <c r="D530" s="3" t="e">
        <f t="shared" si="72"/>
        <v>#VALUE!</v>
      </c>
      <c r="E530" t="s">
        <v>778</v>
      </c>
      <c r="F530" s="4">
        <f t="shared" si="73"/>
        <v>0.57777777777777772</v>
      </c>
      <c r="G530" t="s">
        <v>700</v>
      </c>
      <c r="H530" t="s">
        <v>1559</v>
      </c>
      <c r="I530" t="str">
        <f t="shared" si="74"/>
        <v>Other</v>
      </c>
      <c r="J530" t="s">
        <v>43</v>
      </c>
      <c r="K530" t="s">
        <v>44</v>
      </c>
      <c r="L530">
        <f t="shared" si="75"/>
        <v>53</v>
      </c>
      <c r="M530" t="s">
        <v>108</v>
      </c>
      <c r="N530" t="str">
        <f t="shared" si="76"/>
        <v>Education</v>
      </c>
      <c r="O530" t="s">
        <v>34</v>
      </c>
      <c r="P530" t="str">
        <f t="shared" si="77"/>
        <v>Python</v>
      </c>
      <c r="Q530">
        <v>4</v>
      </c>
      <c r="R530">
        <v>9</v>
      </c>
      <c r="S530">
        <v>8</v>
      </c>
      <c r="T530">
        <v>8</v>
      </c>
      <c r="U530">
        <v>6</v>
      </c>
      <c r="V530">
        <v>7</v>
      </c>
      <c r="W530" t="s">
        <v>85</v>
      </c>
      <c r="X530" t="s">
        <v>70</v>
      </c>
      <c r="Y530" t="s">
        <v>37</v>
      </c>
      <c r="Z530">
        <v>25</v>
      </c>
      <c r="AA530" t="s">
        <v>38</v>
      </c>
      <c r="AB530" t="str">
        <f t="shared" si="78"/>
        <v>United States</v>
      </c>
      <c r="AC530" t="s">
        <v>240</v>
      </c>
      <c r="AD530" t="str">
        <f t="shared" si="79"/>
        <v>Masters</v>
      </c>
      <c r="AE530" t="s">
        <v>39</v>
      </c>
      <c r="AF530" t="str">
        <f t="shared" si="80"/>
        <v>White or Caucasian</v>
      </c>
    </row>
    <row r="531" spans="1:32" x14ac:dyDescent="0.45">
      <c r="A531" t="s">
        <v>1560</v>
      </c>
      <c r="B531" t="s">
        <v>25</v>
      </c>
      <c r="C531" s="3" t="s">
        <v>1501</v>
      </c>
      <c r="D531" s="3" t="e">
        <f t="shared" si="72"/>
        <v>#VALUE!</v>
      </c>
      <c r="E531" t="s">
        <v>784</v>
      </c>
      <c r="F531" s="4">
        <f t="shared" si="73"/>
        <v>0.5805555555555556</v>
      </c>
      <c r="G531" t="s">
        <v>122</v>
      </c>
      <c r="H531" t="s">
        <v>30</v>
      </c>
      <c r="I531" t="str">
        <f t="shared" si="74"/>
        <v>Data Analyst</v>
      </c>
      <c r="J531" t="s">
        <v>31</v>
      </c>
      <c r="K531" t="s">
        <v>53</v>
      </c>
      <c r="L531">
        <f t="shared" si="75"/>
        <v>20</v>
      </c>
      <c r="M531" t="s">
        <v>113</v>
      </c>
      <c r="N531" t="str">
        <f t="shared" si="76"/>
        <v>Construction</v>
      </c>
      <c r="O531" t="s">
        <v>34</v>
      </c>
      <c r="P531" t="str">
        <f t="shared" si="77"/>
        <v>Python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35</v>
      </c>
      <c r="X531" t="s">
        <v>70</v>
      </c>
      <c r="Y531" t="s">
        <v>65</v>
      </c>
      <c r="Z531">
        <v>28</v>
      </c>
      <c r="AA531" t="s">
        <v>38</v>
      </c>
      <c r="AB531" t="str">
        <f t="shared" si="78"/>
        <v>United States</v>
      </c>
      <c r="AC531" t="s">
        <v>240</v>
      </c>
      <c r="AD531" t="str">
        <f t="shared" si="79"/>
        <v>Masters</v>
      </c>
      <c r="AE531" t="s">
        <v>48</v>
      </c>
      <c r="AF531" t="str">
        <f t="shared" si="80"/>
        <v>Asian or Asian American</v>
      </c>
    </row>
    <row r="532" spans="1:32" x14ac:dyDescent="0.45">
      <c r="A532" t="s">
        <v>1561</v>
      </c>
      <c r="B532" t="s">
        <v>25</v>
      </c>
      <c r="C532" s="3" t="s">
        <v>1501</v>
      </c>
      <c r="D532" s="3" t="e">
        <f t="shared" si="72"/>
        <v>#VALUE!</v>
      </c>
      <c r="E532" t="s">
        <v>1562</v>
      </c>
      <c r="F532" s="4">
        <f t="shared" si="73"/>
        <v>0.58750000000000002</v>
      </c>
      <c r="G532" t="s">
        <v>1563</v>
      </c>
      <c r="H532" t="s">
        <v>30</v>
      </c>
      <c r="I532" t="str">
        <f t="shared" si="74"/>
        <v>Data Analyst</v>
      </c>
      <c r="J532" t="s">
        <v>31</v>
      </c>
      <c r="K532" t="s">
        <v>44</v>
      </c>
      <c r="L532">
        <f t="shared" si="75"/>
        <v>53</v>
      </c>
      <c r="M532" t="s">
        <v>794</v>
      </c>
      <c r="N532" t="str">
        <f t="shared" si="76"/>
        <v>Agriculture</v>
      </c>
      <c r="O532" t="s">
        <v>34</v>
      </c>
      <c r="P532" t="str">
        <f t="shared" si="77"/>
        <v>Python</v>
      </c>
      <c r="Q532">
        <v>3</v>
      </c>
      <c r="R532">
        <v>6</v>
      </c>
      <c r="S532">
        <v>5</v>
      </c>
      <c r="T532">
        <v>5</v>
      </c>
      <c r="U532">
        <v>5</v>
      </c>
      <c r="V532">
        <v>6</v>
      </c>
      <c r="W532" t="s">
        <v>85</v>
      </c>
      <c r="X532" t="s">
        <v>70</v>
      </c>
      <c r="Y532" t="s">
        <v>37</v>
      </c>
      <c r="Z532">
        <v>29</v>
      </c>
      <c r="AA532" t="s">
        <v>38</v>
      </c>
      <c r="AB532" t="str">
        <f t="shared" si="78"/>
        <v>United States</v>
      </c>
      <c r="AC532" t="s">
        <v>237</v>
      </c>
      <c r="AD532" t="str">
        <f t="shared" si="79"/>
        <v>Bachelors</v>
      </c>
      <c r="AE532" t="s">
        <v>39</v>
      </c>
      <c r="AF532" t="str">
        <f t="shared" si="80"/>
        <v>White or Caucasian</v>
      </c>
    </row>
    <row r="533" spans="1:32" x14ac:dyDescent="0.45">
      <c r="A533" t="s">
        <v>1564</v>
      </c>
      <c r="B533" t="s">
        <v>25</v>
      </c>
      <c r="C533" s="3" t="s">
        <v>1501</v>
      </c>
      <c r="D533" s="3" t="e">
        <f t="shared" si="72"/>
        <v>#VALUE!</v>
      </c>
      <c r="E533" t="s">
        <v>857</v>
      </c>
      <c r="F533" s="4">
        <f t="shared" si="73"/>
        <v>0.61875000000000002</v>
      </c>
      <c r="G533" t="s">
        <v>42</v>
      </c>
      <c r="H533" t="s">
        <v>123</v>
      </c>
      <c r="I533" t="str">
        <f t="shared" si="74"/>
        <v>None</v>
      </c>
      <c r="J533" t="s">
        <v>43</v>
      </c>
      <c r="K533" t="s">
        <v>53</v>
      </c>
      <c r="L533">
        <f t="shared" si="75"/>
        <v>20</v>
      </c>
      <c r="M533" t="s">
        <v>90</v>
      </c>
      <c r="N533" t="str">
        <f t="shared" si="76"/>
        <v>Telecommunication</v>
      </c>
      <c r="O533" t="s">
        <v>34</v>
      </c>
      <c r="P533" t="str">
        <f t="shared" si="77"/>
        <v>Python</v>
      </c>
      <c r="Q533">
        <v>8</v>
      </c>
      <c r="R533">
        <v>10</v>
      </c>
      <c r="S533">
        <v>6</v>
      </c>
      <c r="T533">
        <v>7</v>
      </c>
      <c r="U533">
        <v>8</v>
      </c>
      <c r="V533">
        <v>8</v>
      </c>
      <c r="W533" t="s">
        <v>85</v>
      </c>
      <c r="X533" t="s">
        <v>70</v>
      </c>
      <c r="Y533" t="s">
        <v>37</v>
      </c>
      <c r="Z533">
        <v>19</v>
      </c>
      <c r="AA533" t="s">
        <v>38</v>
      </c>
      <c r="AB533" t="str">
        <f t="shared" si="78"/>
        <v>United States</v>
      </c>
      <c r="AC533" t="s">
        <v>227</v>
      </c>
      <c r="AD533" t="str">
        <f t="shared" si="79"/>
        <v>High School</v>
      </c>
      <c r="AE533" t="s">
        <v>39</v>
      </c>
      <c r="AF533" t="str">
        <f t="shared" si="80"/>
        <v>White or Caucasian</v>
      </c>
    </row>
    <row r="534" spans="1:32" x14ac:dyDescent="0.45">
      <c r="A534" t="s">
        <v>1565</v>
      </c>
      <c r="B534" t="s">
        <v>25</v>
      </c>
      <c r="C534" s="3" t="s">
        <v>1501</v>
      </c>
      <c r="D534" s="3" t="e">
        <f t="shared" si="72"/>
        <v>#VALUE!</v>
      </c>
      <c r="E534" t="s">
        <v>1566</v>
      </c>
      <c r="F534" s="4">
        <f t="shared" si="73"/>
        <v>0.62430555555555556</v>
      </c>
      <c r="G534" t="s">
        <v>81</v>
      </c>
      <c r="H534" t="s">
        <v>30</v>
      </c>
      <c r="I534" t="str">
        <f t="shared" si="74"/>
        <v>Data Analyst</v>
      </c>
      <c r="J534" t="s">
        <v>31</v>
      </c>
      <c r="K534" t="s">
        <v>44</v>
      </c>
      <c r="L534">
        <f t="shared" si="75"/>
        <v>53</v>
      </c>
      <c r="M534" t="s">
        <v>838</v>
      </c>
      <c r="N534" t="str">
        <f t="shared" si="76"/>
        <v>Other</v>
      </c>
      <c r="O534" t="s">
        <v>34</v>
      </c>
      <c r="P534" t="str">
        <f t="shared" si="77"/>
        <v>Python</v>
      </c>
      <c r="Q534">
        <v>5</v>
      </c>
      <c r="R534">
        <v>6</v>
      </c>
      <c r="S534">
        <v>9</v>
      </c>
      <c r="T534">
        <v>6</v>
      </c>
      <c r="U534">
        <v>7</v>
      </c>
      <c r="V534">
        <v>10</v>
      </c>
      <c r="W534" t="s">
        <v>85</v>
      </c>
      <c r="X534" t="s">
        <v>70</v>
      </c>
      <c r="Y534" t="s">
        <v>37</v>
      </c>
      <c r="Z534">
        <v>27</v>
      </c>
      <c r="AA534" t="s">
        <v>147</v>
      </c>
      <c r="AB534" t="str">
        <f t="shared" si="78"/>
        <v>India</v>
      </c>
      <c r="AC534" t="s">
        <v>237</v>
      </c>
      <c r="AD534" t="str">
        <f t="shared" si="79"/>
        <v>Bachelors</v>
      </c>
      <c r="AE534" t="s">
        <v>48</v>
      </c>
      <c r="AF534" t="str">
        <f t="shared" si="80"/>
        <v>Asian or Asian American</v>
      </c>
    </row>
    <row r="535" spans="1:32" x14ac:dyDescent="0.45">
      <c r="A535" t="s">
        <v>1567</v>
      </c>
      <c r="B535" t="s">
        <v>25</v>
      </c>
      <c r="C535" s="3" t="s">
        <v>1501</v>
      </c>
      <c r="D535" s="3" t="e">
        <f t="shared" si="72"/>
        <v>#VALUE!</v>
      </c>
      <c r="E535" t="s">
        <v>888</v>
      </c>
      <c r="F535" s="4">
        <f t="shared" si="73"/>
        <v>0.64236111111111116</v>
      </c>
      <c r="G535" t="s">
        <v>186</v>
      </c>
      <c r="H535" t="s">
        <v>123</v>
      </c>
      <c r="I535" t="str">
        <f t="shared" si="74"/>
        <v>None</v>
      </c>
      <c r="J535" t="s">
        <v>31</v>
      </c>
      <c r="K535" t="s">
        <v>53</v>
      </c>
      <c r="L535">
        <f t="shared" si="75"/>
        <v>20</v>
      </c>
      <c r="M535" t="s">
        <v>45</v>
      </c>
      <c r="N535" t="str">
        <f t="shared" si="76"/>
        <v>Finance</v>
      </c>
      <c r="O535" t="s">
        <v>34</v>
      </c>
      <c r="P535" t="str">
        <f t="shared" si="77"/>
        <v>Python</v>
      </c>
      <c r="Q535">
        <v>8</v>
      </c>
      <c r="R535">
        <v>9</v>
      </c>
      <c r="S535">
        <v>9</v>
      </c>
      <c r="T535">
        <v>7</v>
      </c>
      <c r="U535">
        <v>8</v>
      </c>
      <c r="V535">
        <v>8</v>
      </c>
      <c r="W535" t="s">
        <v>85</v>
      </c>
      <c r="X535" t="s">
        <v>70</v>
      </c>
      <c r="Y535" t="s">
        <v>37</v>
      </c>
      <c r="Z535">
        <v>25</v>
      </c>
      <c r="AA535" t="s">
        <v>78</v>
      </c>
      <c r="AB535" t="str">
        <f t="shared" si="78"/>
        <v>Other</v>
      </c>
      <c r="AC535" t="s">
        <v>237</v>
      </c>
      <c r="AD535" t="str">
        <f t="shared" si="79"/>
        <v>Bachelors</v>
      </c>
      <c r="AE535" t="s">
        <v>39</v>
      </c>
      <c r="AF535" t="str">
        <f t="shared" si="80"/>
        <v>White or Caucasian</v>
      </c>
    </row>
    <row r="536" spans="1:32" x14ac:dyDescent="0.45">
      <c r="A536" t="s">
        <v>1568</v>
      </c>
      <c r="B536" t="s">
        <v>25</v>
      </c>
      <c r="C536" s="3" t="s">
        <v>1501</v>
      </c>
      <c r="D536" s="3" t="e">
        <f t="shared" si="72"/>
        <v>#VALUE!</v>
      </c>
      <c r="E536" t="s">
        <v>1569</v>
      </c>
      <c r="F536" s="4">
        <f t="shared" si="73"/>
        <v>0.67013888888888884</v>
      </c>
      <c r="G536" t="s">
        <v>269</v>
      </c>
      <c r="H536" t="s">
        <v>30</v>
      </c>
      <c r="I536" t="str">
        <f t="shared" si="74"/>
        <v>Data Analyst</v>
      </c>
      <c r="J536" t="s">
        <v>31</v>
      </c>
      <c r="K536" t="s">
        <v>44</v>
      </c>
      <c r="L536">
        <f t="shared" si="75"/>
        <v>53</v>
      </c>
      <c r="M536" t="s">
        <v>1570</v>
      </c>
      <c r="N536" t="str">
        <f t="shared" si="76"/>
        <v>Other</v>
      </c>
      <c r="O536" t="s">
        <v>34</v>
      </c>
      <c r="P536" t="str">
        <f t="shared" si="77"/>
        <v>Python</v>
      </c>
      <c r="Q536">
        <v>6</v>
      </c>
      <c r="R536">
        <v>10</v>
      </c>
      <c r="S536">
        <v>10</v>
      </c>
      <c r="T536">
        <v>10</v>
      </c>
      <c r="U536">
        <v>10</v>
      </c>
      <c r="V536">
        <v>8</v>
      </c>
      <c r="W536" t="s">
        <v>69</v>
      </c>
      <c r="X536" t="s">
        <v>70</v>
      </c>
      <c r="Y536" t="s">
        <v>65</v>
      </c>
      <c r="Z536">
        <v>26</v>
      </c>
      <c r="AA536" t="s">
        <v>47</v>
      </c>
      <c r="AB536" t="str">
        <f t="shared" si="78"/>
        <v>Canada</v>
      </c>
      <c r="AC536" t="s">
        <v>240</v>
      </c>
      <c r="AD536" t="str">
        <f t="shared" si="79"/>
        <v>Masters</v>
      </c>
      <c r="AE536" t="s">
        <v>48</v>
      </c>
      <c r="AF536" t="str">
        <f t="shared" si="80"/>
        <v>Asian or Asian American</v>
      </c>
    </row>
    <row r="537" spans="1:32" x14ac:dyDescent="0.45">
      <c r="A537" t="s">
        <v>1571</v>
      </c>
      <c r="B537" t="s">
        <v>25</v>
      </c>
      <c r="C537" s="3" t="s">
        <v>1501</v>
      </c>
      <c r="D537" s="3" t="e">
        <f t="shared" si="72"/>
        <v>#VALUE!</v>
      </c>
      <c r="E537" t="s">
        <v>922</v>
      </c>
      <c r="F537" s="4">
        <f t="shared" si="73"/>
        <v>0.68194444444444446</v>
      </c>
      <c r="G537" t="s">
        <v>1420</v>
      </c>
      <c r="H537" t="s">
        <v>30</v>
      </c>
      <c r="I537" t="str">
        <f t="shared" si="74"/>
        <v>Data Analyst</v>
      </c>
      <c r="J537" t="s">
        <v>31</v>
      </c>
      <c r="K537" t="s">
        <v>53</v>
      </c>
      <c r="L537">
        <f t="shared" si="75"/>
        <v>20</v>
      </c>
      <c r="M537" t="s">
        <v>33</v>
      </c>
      <c r="N537" t="str">
        <f t="shared" si="76"/>
        <v>Healthcare</v>
      </c>
      <c r="O537" t="s">
        <v>34</v>
      </c>
      <c r="P537" t="str">
        <f t="shared" si="77"/>
        <v>Python</v>
      </c>
      <c r="Q537">
        <v>3</v>
      </c>
      <c r="R537">
        <v>4</v>
      </c>
      <c r="S537">
        <v>5</v>
      </c>
      <c r="T537">
        <v>5</v>
      </c>
      <c r="U537">
        <v>4</v>
      </c>
      <c r="V537">
        <v>5</v>
      </c>
      <c r="W537" t="s">
        <v>69</v>
      </c>
      <c r="X537" t="s">
        <v>56</v>
      </c>
      <c r="Y537" t="s">
        <v>37</v>
      </c>
      <c r="Z537">
        <v>25</v>
      </c>
      <c r="AA537" t="s">
        <v>207</v>
      </c>
      <c r="AB537" t="str">
        <f t="shared" si="78"/>
        <v>Other</v>
      </c>
      <c r="AC537" t="s">
        <v>237</v>
      </c>
      <c r="AD537" t="str">
        <f t="shared" si="79"/>
        <v>Bachelors</v>
      </c>
      <c r="AE537" t="s">
        <v>39</v>
      </c>
      <c r="AF537" t="str">
        <f t="shared" si="80"/>
        <v>White or Caucasian</v>
      </c>
    </row>
    <row r="538" spans="1:32" x14ac:dyDescent="0.45">
      <c r="A538" t="s">
        <v>1572</v>
      </c>
      <c r="B538" t="s">
        <v>25</v>
      </c>
      <c r="C538" s="3" t="s">
        <v>1501</v>
      </c>
      <c r="D538" s="3" t="e">
        <f t="shared" si="72"/>
        <v>#VALUE!</v>
      </c>
      <c r="E538" t="s">
        <v>1573</v>
      </c>
      <c r="F538" s="4">
        <f t="shared" si="73"/>
        <v>0.7416666666666667</v>
      </c>
      <c r="G538" t="s">
        <v>1563</v>
      </c>
      <c r="H538" t="s">
        <v>30</v>
      </c>
      <c r="I538" t="str">
        <f t="shared" si="74"/>
        <v>Data Analyst</v>
      </c>
      <c r="J538" t="s">
        <v>31</v>
      </c>
      <c r="K538" t="s">
        <v>53</v>
      </c>
      <c r="L538">
        <f t="shared" si="75"/>
        <v>20</v>
      </c>
      <c r="M538" t="s">
        <v>491</v>
      </c>
      <c r="N538" t="str">
        <f t="shared" si="76"/>
        <v>Other</v>
      </c>
      <c r="O538" t="s">
        <v>34</v>
      </c>
      <c r="P538" t="str">
        <f t="shared" si="77"/>
        <v>Python</v>
      </c>
      <c r="Q538">
        <v>6</v>
      </c>
      <c r="R538">
        <v>6</v>
      </c>
      <c r="S538">
        <v>9</v>
      </c>
      <c r="T538">
        <v>9</v>
      </c>
      <c r="U538">
        <v>10</v>
      </c>
      <c r="V538">
        <v>10</v>
      </c>
      <c r="W538" t="s">
        <v>85</v>
      </c>
      <c r="X538" t="s">
        <v>36</v>
      </c>
      <c r="Y538" t="s">
        <v>37</v>
      </c>
      <c r="Z538">
        <v>25</v>
      </c>
      <c r="AA538" t="s">
        <v>423</v>
      </c>
      <c r="AB538" t="str">
        <f t="shared" si="78"/>
        <v>Other</v>
      </c>
      <c r="AC538" t="s">
        <v>237</v>
      </c>
      <c r="AD538" t="str">
        <f t="shared" si="79"/>
        <v>Bachelors</v>
      </c>
      <c r="AE538" t="s">
        <v>39</v>
      </c>
      <c r="AF538" t="str">
        <f t="shared" si="80"/>
        <v>White or Caucasian</v>
      </c>
    </row>
    <row r="539" spans="1:32" x14ac:dyDescent="0.45">
      <c r="A539" t="s">
        <v>1574</v>
      </c>
      <c r="B539" t="s">
        <v>25</v>
      </c>
      <c r="C539" s="3" t="s">
        <v>1501</v>
      </c>
      <c r="D539" s="3" t="e">
        <f t="shared" si="72"/>
        <v>#VALUE!</v>
      </c>
      <c r="E539" t="s">
        <v>1575</v>
      </c>
      <c r="F539" s="4">
        <f t="shared" si="73"/>
        <v>0.74722222222222223</v>
      </c>
      <c r="G539" t="s">
        <v>229</v>
      </c>
      <c r="H539" t="s">
        <v>30</v>
      </c>
      <c r="I539" t="str">
        <f t="shared" si="74"/>
        <v>Data Analyst</v>
      </c>
      <c r="J539" t="s">
        <v>31</v>
      </c>
      <c r="K539" t="s">
        <v>53</v>
      </c>
      <c r="L539">
        <f t="shared" si="75"/>
        <v>20</v>
      </c>
      <c r="M539" t="s">
        <v>33</v>
      </c>
      <c r="N539" t="str">
        <f t="shared" si="76"/>
        <v>Healthcare</v>
      </c>
      <c r="O539" t="s">
        <v>46</v>
      </c>
      <c r="P539" t="str">
        <f t="shared" si="77"/>
        <v>R</v>
      </c>
      <c r="Q539">
        <v>2</v>
      </c>
      <c r="R539">
        <v>3</v>
      </c>
      <c r="S539">
        <v>4</v>
      </c>
      <c r="T539">
        <v>3</v>
      </c>
      <c r="U539">
        <v>3</v>
      </c>
      <c r="V539">
        <v>5</v>
      </c>
      <c r="W539" t="s">
        <v>85</v>
      </c>
      <c r="X539" t="s">
        <v>56</v>
      </c>
      <c r="Y539" t="s">
        <v>37</v>
      </c>
      <c r="Z539">
        <v>26</v>
      </c>
      <c r="AA539" t="s">
        <v>1576</v>
      </c>
      <c r="AB539" t="str">
        <f t="shared" si="78"/>
        <v>Other</v>
      </c>
      <c r="AC539" t="s">
        <v>237</v>
      </c>
      <c r="AD539" t="str">
        <f t="shared" si="79"/>
        <v>Bachelors</v>
      </c>
      <c r="AE539" t="s">
        <v>58</v>
      </c>
      <c r="AF539" t="str">
        <f t="shared" si="80"/>
        <v>Black or African American</v>
      </c>
    </row>
    <row r="540" spans="1:32" x14ac:dyDescent="0.45">
      <c r="A540" t="s">
        <v>1577</v>
      </c>
      <c r="B540" t="s">
        <v>25</v>
      </c>
      <c r="C540" s="3" t="s">
        <v>1501</v>
      </c>
      <c r="D540" s="3" t="e">
        <f t="shared" si="72"/>
        <v>#VALUE!</v>
      </c>
      <c r="E540" t="s">
        <v>1575</v>
      </c>
      <c r="F540" s="4">
        <f t="shared" si="73"/>
        <v>0.74722222222222223</v>
      </c>
      <c r="G540" t="s">
        <v>568</v>
      </c>
      <c r="H540" t="s">
        <v>30</v>
      </c>
      <c r="I540" t="str">
        <f t="shared" si="74"/>
        <v>Data Analyst</v>
      </c>
      <c r="J540" t="s">
        <v>31</v>
      </c>
      <c r="K540" t="s">
        <v>82</v>
      </c>
      <c r="L540">
        <f t="shared" si="75"/>
        <v>137.5</v>
      </c>
      <c r="M540" t="s">
        <v>108</v>
      </c>
      <c r="N540" t="str">
        <f t="shared" si="76"/>
        <v>Education</v>
      </c>
      <c r="O540" t="s">
        <v>34</v>
      </c>
      <c r="P540" t="str">
        <f t="shared" si="77"/>
        <v>Python</v>
      </c>
      <c r="Q540">
        <v>8</v>
      </c>
      <c r="R540">
        <v>8</v>
      </c>
      <c r="S540">
        <v>7</v>
      </c>
      <c r="T540">
        <v>6</v>
      </c>
      <c r="U540">
        <v>7</v>
      </c>
      <c r="V540">
        <v>9</v>
      </c>
      <c r="W540" t="s">
        <v>85</v>
      </c>
      <c r="X540" t="s">
        <v>114</v>
      </c>
      <c r="Y540" t="s">
        <v>37</v>
      </c>
      <c r="Z540">
        <v>35</v>
      </c>
      <c r="AA540" t="s">
        <v>38</v>
      </c>
      <c r="AB540" t="str">
        <f t="shared" si="78"/>
        <v>United States</v>
      </c>
      <c r="AC540" t="s">
        <v>237</v>
      </c>
      <c r="AD540" t="str">
        <f t="shared" si="79"/>
        <v>Bachelors</v>
      </c>
      <c r="AE540" t="s">
        <v>39</v>
      </c>
      <c r="AF540" t="str">
        <f t="shared" si="80"/>
        <v>White or Caucasian</v>
      </c>
    </row>
    <row r="541" spans="1:32" x14ac:dyDescent="0.45">
      <c r="A541" t="s">
        <v>1578</v>
      </c>
      <c r="B541" t="s">
        <v>25</v>
      </c>
      <c r="C541" s="3" t="s">
        <v>1501</v>
      </c>
      <c r="D541" s="3" t="e">
        <f t="shared" si="72"/>
        <v>#VALUE!</v>
      </c>
      <c r="E541" t="s">
        <v>1579</v>
      </c>
      <c r="F541" s="4">
        <f t="shared" si="73"/>
        <v>0.77847222222222223</v>
      </c>
      <c r="G541" t="s">
        <v>131</v>
      </c>
      <c r="H541" t="s">
        <v>30</v>
      </c>
      <c r="I541" t="str">
        <f t="shared" si="74"/>
        <v>Data Analyst</v>
      </c>
      <c r="J541" t="s">
        <v>31</v>
      </c>
      <c r="K541" t="s">
        <v>87</v>
      </c>
      <c r="L541">
        <f t="shared" si="75"/>
        <v>95.5</v>
      </c>
      <c r="M541" t="s">
        <v>83</v>
      </c>
      <c r="N541" t="str">
        <f t="shared" si="76"/>
        <v>Other</v>
      </c>
      <c r="O541" t="s">
        <v>34</v>
      </c>
      <c r="P541" t="str">
        <f t="shared" si="77"/>
        <v>Python</v>
      </c>
      <c r="Q541">
        <v>6</v>
      </c>
      <c r="R541">
        <v>7</v>
      </c>
      <c r="S541">
        <v>7</v>
      </c>
      <c r="T541">
        <v>6</v>
      </c>
      <c r="U541">
        <v>7</v>
      </c>
      <c r="V541">
        <v>6</v>
      </c>
      <c r="W541" t="s">
        <v>69</v>
      </c>
      <c r="X541" t="s">
        <v>36</v>
      </c>
      <c r="Y541" t="s">
        <v>37</v>
      </c>
      <c r="Z541">
        <v>29</v>
      </c>
      <c r="AA541" t="s">
        <v>38</v>
      </c>
      <c r="AB541" t="str">
        <f t="shared" si="78"/>
        <v>United States</v>
      </c>
      <c r="AC541" t="s">
        <v>240</v>
      </c>
      <c r="AD541" t="str">
        <f t="shared" si="79"/>
        <v>Masters</v>
      </c>
      <c r="AE541" t="s">
        <v>58</v>
      </c>
      <c r="AF541" t="str">
        <f t="shared" si="80"/>
        <v>Black or African American</v>
      </c>
    </row>
    <row r="542" spans="1:32" x14ac:dyDescent="0.45">
      <c r="A542" t="s">
        <v>1580</v>
      </c>
      <c r="B542" t="s">
        <v>25</v>
      </c>
      <c r="C542" s="3" t="s">
        <v>1501</v>
      </c>
      <c r="D542" s="3" t="e">
        <f t="shared" si="72"/>
        <v>#VALUE!</v>
      </c>
      <c r="E542" t="s">
        <v>1581</v>
      </c>
      <c r="F542" s="4">
        <f t="shared" si="73"/>
        <v>0.78194444444444444</v>
      </c>
      <c r="G542" t="s">
        <v>375</v>
      </c>
      <c r="H542" t="s">
        <v>30</v>
      </c>
      <c r="I542" t="str">
        <f t="shared" si="74"/>
        <v>Data Analyst</v>
      </c>
      <c r="J542" t="s">
        <v>31</v>
      </c>
      <c r="K542" t="s">
        <v>87</v>
      </c>
      <c r="L542">
        <f t="shared" si="75"/>
        <v>95.5</v>
      </c>
      <c r="M542" t="s">
        <v>103</v>
      </c>
      <c r="N542" t="str">
        <f t="shared" si="76"/>
        <v>Tech</v>
      </c>
      <c r="O542" t="s">
        <v>34</v>
      </c>
      <c r="P542" t="str">
        <f t="shared" si="77"/>
        <v>Python</v>
      </c>
      <c r="Q542">
        <v>7</v>
      </c>
      <c r="R542">
        <v>6</v>
      </c>
      <c r="S542">
        <v>5</v>
      </c>
      <c r="T542">
        <v>4</v>
      </c>
      <c r="U542">
        <v>3</v>
      </c>
      <c r="V542">
        <v>6</v>
      </c>
      <c r="W542" t="s">
        <v>85</v>
      </c>
      <c r="X542" t="s">
        <v>70</v>
      </c>
      <c r="Y542" t="s">
        <v>65</v>
      </c>
      <c r="Z542">
        <v>41</v>
      </c>
      <c r="AA542" t="s">
        <v>38</v>
      </c>
      <c r="AB542" t="str">
        <f t="shared" si="78"/>
        <v>United States</v>
      </c>
      <c r="AC542" t="s">
        <v>262</v>
      </c>
      <c r="AD542" t="str">
        <f t="shared" si="79"/>
        <v>Associates</v>
      </c>
      <c r="AE542" t="s">
        <v>91</v>
      </c>
      <c r="AF542" t="str">
        <f t="shared" si="80"/>
        <v>Hispanic or Latino</v>
      </c>
    </row>
    <row r="543" spans="1:32" x14ac:dyDescent="0.45">
      <c r="A543" t="s">
        <v>1582</v>
      </c>
      <c r="B543" t="s">
        <v>25</v>
      </c>
      <c r="C543" s="3" t="s">
        <v>1501</v>
      </c>
      <c r="D543" s="3" t="e">
        <f t="shared" si="72"/>
        <v>#VALUE!</v>
      </c>
      <c r="E543" t="s">
        <v>1583</v>
      </c>
      <c r="F543" s="4">
        <f t="shared" si="73"/>
        <v>0.82916666666666672</v>
      </c>
      <c r="G543" t="s">
        <v>76</v>
      </c>
      <c r="H543" t="s">
        <v>123</v>
      </c>
      <c r="I543" t="str">
        <f t="shared" si="74"/>
        <v>None</v>
      </c>
      <c r="J543" t="s">
        <v>43</v>
      </c>
      <c r="K543" t="s">
        <v>53</v>
      </c>
      <c r="L543">
        <f t="shared" si="75"/>
        <v>20</v>
      </c>
      <c r="M543" t="s">
        <v>108</v>
      </c>
      <c r="N543" t="str">
        <f t="shared" si="76"/>
        <v>Education</v>
      </c>
      <c r="O543" t="s">
        <v>34</v>
      </c>
      <c r="P543" t="str">
        <f t="shared" si="77"/>
        <v>Python</v>
      </c>
      <c r="Q543">
        <v>0</v>
      </c>
      <c r="R543">
        <v>6</v>
      </c>
      <c r="S543">
        <v>4</v>
      </c>
      <c r="T543">
        <v>5</v>
      </c>
      <c r="U543">
        <v>2</v>
      </c>
      <c r="V543">
        <v>4</v>
      </c>
      <c r="W543" t="s">
        <v>35</v>
      </c>
      <c r="X543" t="s">
        <v>36</v>
      </c>
      <c r="Y543" t="s">
        <v>65</v>
      </c>
      <c r="Z543">
        <v>22</v>
      </c>
      <c r="AA543" t="s">
        <v>38</v>
      </c>
      <c r="AB543" t="str">
        <f t="shared" si="78"/>
        <v>United States</v>
      </c>
      <c r="AC543" t="s">
        <v>237</v>
      </c>
      <c r="AD543" t="str">
        <f t="shared" si="79"/>
        <v>Bachelors</v>
      </c>
      <c r="AE543" t="s">
        <v>91</v>
      </c>
      <c r="AF543" t="str">
        <f t="shared" si="80"/>
        <v>Hispanic or Latino</v>
      </c>
    </row>
    <row r="544" spans="1:32" x14ac:dyDescent="0.45">
      <c r="A544" t="s">
        <v>1584</v>
      </c>
      <c r="B544" t="s">
        <v>25</v>
      </c>
      <c r="C544" s="3" t="s">
        <v>1501</v>
      </c>
      <c r="D544" s="3" t="e">
        <f t="shared" si="72"/>
        <v>#VALUE!</v>
      </c>
      <c r="E544" t="s">
        <v>1585</v>
      </c>
      <c r="F544" s="4">
        <f t="shared" si="73"/>
        <v>0.88541666666666663</v>
      </c>
      <c r="G544" t="s">
        <v>1195</v>
      </c>
      <c r="H544" t="s">
        <v>30</v>
      </c>
      <c r="I544" t="str">
        <f t="shared" si="74"/>
        <v>Data Analyst</v>
      </c>
      <c r="J544" t="s">
        <v>31</v>
      </c>
      <c r="K544" t="s">
        <v>94</v>
      </c>
      <c r="L544">
        <f t="shared" si="75"/>
        <v>75.5</v>
      </c>
      <c r="M544" t="s">
        <v>33</v>
      </c>
      <c r="N544" t="str">
        <f t="shared" si="76"/>
        <v>Healthcare</v>
      </c>
      <c r="O544" t="s">
        <v>674</v>
      </c>
      <c r="P544" t="str">
        <f t="shared" si="77"/>
        <v>Other</v>
      </c>
      <c r="Q544">
        <v>2</v>
      </c>
      <c r="R544">
        <v>6</v>
      </c>
      <c r="S544">
        <v>6</v>
      </c>
      <c r="T544">
        <v>4</v>
      </c>
      <c r="U544">
        <v>3</v>
      </c>
      <c r="V544">
        <v>3</v>
      </c>
      <c r="W544" t="s">
        <v>69</v>
      </c>
      <c r="X544" t="s">
        <v>70</v>
      </c>
      <c r="Y544" t="s">
        <v>37</v>
      </c>
      <c r="Z544">
        <v>35</v>
      </c>
      <c r="AA544" t="s">
        <v>38</v>
      </c>
      <c r="AB544" t="str">
        <f t="shared" si="78"/>
        <v>United States</v>
      </c>
      <c r="AC544" t="s">
        <v>237</v>
      </c>
      <c r="AD544" t="str">
        <f t="shared" si="79"/>
        <v>Bachelors</v>
      </c>
      <c r="AE544" t="s">
        <v>91</v>
      </c>
      <c r="AF544" t="str">
        <f t="shared" si="80"/>
        <v>Hispanic or Latino</v>
      </c>
    </row>
    <row r="545" spans="1:32" x14ac:dyDescent="0.45">
      <c r="A545" t="s">
        <v>1586</v>
      </c>
      <c r="B545" t="s">
        <v>25</v>
      </c>
      <c r="C545" s="3" t="s">
        <v>1501</v>
      </c>
      <c r="D545" s="3" t="e">
        <f t="shared" si="72"/>
        <v>#VALUE!</v>
      </c>
      <c r="E545" t="s">
        <v>1587</v>
      </c>
      <c r="F545" s="4">
        <f t="shared" si="73"/>
        <v>0.89027777777777772</v>
      </c>
      <c r="G545" t="s">
        <v>265</v>
      </c>
      <c r="H545" t="s">
        <v>30</v>
      </c>
      <c r="I545" t="str">
        <f t="shared" si="74"/>
        <v>Data Analyst</v>
      </c>
      <c r="J545" t="s">
        <v>31</v>
      </c>
      <c r="K545" t="s">
        <v>94</v>
      </c>
      <c r="L545">
        <f t="shared" si="75"/>
        <v>75.5</v>
      </c>
      <c r="M545" t="s">
        <v>45</v>
      </c>
      <c r="N545" t="str">
        <f t="shared" si="76"/>
        <v>Finance</v>
      </c>
      <c r="O545" t="s">
        <v>34</v>
      </c>
      <c r="P545" t="str">
        <f t="shared" si="77"/>
        <v>Python</v>
      </c>
      <c r="Q545">
        <v>4</v>
      </c>
      <c r="R545">
        <v>3</v>
      </c>
      <c r="S545">
        <v>4</v>
      </c>
      <c r="T545">
        <v>4</v>
      </c>
      <c r="U545">
        <v>4</v>
      </c>
      <c r="V545">
        <v>6</v>
      </c>
      <c r="W545" t="s">
        <v>35</v>
      </c>
      <c r="X545" t="s">
        <v>70</v>
      </c>
      <c r="Y545" t="s">
        <v>37</v>
      </c>
      <c r="Z545">
        <v>30</v>
      </c>
      <c r="AA545" t="s">
        <v>1588</v>
      </c>
      <c r="AB545" t="str">
        <f t="shared" si="78"/>
        <v>Other</v>
      </c>
      <c r="AC545" t="s">
        <v>237</v>
      </c>
      <c r="AD545" t="str">
        <f t="shared" si="79"/>
        <v>Bachelors</v>
      </c>
      <c r="AE545" t="s">
        <v>48</v>
      </c>
      <c r="AF545" t="str">
        <f t="shared" si="80"/>
        <v>Asian or Asian American</v>
      </c>
    </row>
    <row r="546" spans="1:32" x14ac:dyDescent="0.45">
      <c r="A546" t="s">
        <v>1589</v>
      </c>
      <c r="B546" t="s">
        <v>25</v>
      </c>
      <c r="C546" s="3" t="s">
        <v>1501</v>
      </c>
      <c r="D546" s="3" t="e">
        <f t="shared" si="72"/>
        <v>#VALUE!</v>
      </c>
      <c r="E546" t="s">
        <v>1590</v>
      </c>
      <c r="F546" s="4">
        <f t="shared" si="73"/>
        <v>0.92222222222222228</v>
      </c>
      <c r="G546" t="s">
        <v>479</v>
      </c>
      <c r="H546" t="s">
        <v>52</v>
      </c>
      <c r="I546" t="str">
        <f t="shared" si="74"/>
        <v>Data Engineer</v>
      </c>
      <c r="J546" t="s">
        <v>43</v>
      </c>
      <c r="K546" t="s">
        <v>63</v>
      </c>
      <c r="L546">
        <f t="shared" si="75"/>
        <v>187.5</v>
      </c>
      <c r="M546" t="s">
        <v>712</v>
      </c>
      <c r="N546" t="str">
        <f t="shared" si="76"/>
        <v>Real Estate</v>
      </c>
      <c r="O546" t="s">
        <v>34</v>
      </c>
      <c r="P546" t="str">
        <f t="shared" si="77"/>
        <v>Python</v>
      </c>
      <c r="Q546">
        <v>4</v>
      </c>
      <c r="R546">
        <v>6</v>
      </c>
      <c r="S546">
        <v>3</v>
      </c>
      <c r="T546">
        <v>2</v>
      </c>
      <c r="U546">
        <v>3</v>
      </c>
      <c r="V546">
        <v>3</v>
      </c>
      <c r="W546" t="s">
        <v>85</v>
      </c>
      <c r="X546" t="s">
        <v>114</v>
      </c>
      <c r="Y546" t="s">
        <v>37</v>
      </c>
      <c r="Z546">
        <v>37</v>
      </c>
      <c r="AA546" t="s">
        <v>47</v>
      </c>
      <c r="AB546" t="str">
        <f t="shared" si="78"/>
        <v>Canada</v>
      </c>
      <c r="AC546" t="s">
        <v>237</v>
      </c>
      <c r="AD546" t="str">
        <f t="shared" si="79"/>
        <v>Bachelors</v>
      </c>
      <c r="AE546" t="s">
        <v>48</v>
      </c>
      <c r="AF546" t="str">
        <f t="shared" si="80"/>
        <v>Asian or Asian American</v>
      </c>
    </row>
    <row r="547" spans="1:32" x14ac:dyDescent="0.45">
      <c r="A547" t="s">
        <v>1591</v>
      </c>
      <c r="B547" t="s">
        <v>25</v>
      </c>
      <c r="C547" s="3" t="s">
        <v>1501</v>
      </c>
      <c r="D547" s="3" t="e">
        <f t="shared" si="72"/>
        <v>#VALUE!</v>
      </c>
      <c r="E547" t="s">
        <v>1592</v>
      </c>
      <c r="F547" s="4">
        <f t="shared" si="73"/>
        <v>0.93125000000000002</v>
      </c>
      <c r="G547" t="s">
        <v>293</v>
      </c>
      <c r="H547" t="s">
        <v>30</v>
      </c>
      <c r="I547" t="str">
        <f t="shared" si="74"/>
        <v>Data Analyst</v>
      </c>
      <c r="J547" t="s">
        <v>31</v>
      </c>
      <c r="K547" t="s">
        <v>94</v>
      </c>
      <c r="L547">
        <f t="shared" si="75"/>
        <v>75.5</v>
      </c>
      <c r="M547" t="s">
        <v>1593</v>
      </c>
      <c r="N547" t="str">
        <f t="shared" si="76"/>
        <v>Other</v>
      </c>
      <c r="O547" t="s">
        <v>34</v>
      </c>
      <c r="P547" t="str">
        <f t="shared" si="77"/>
        <v>Python</v>
      </c>
      <c r="Q547">
        <v>6</v>
      </c>
      <c r="R547">
        <v>7</v>
      </c>
      <c r="S547">
        <v>7</v>
      </c>
      <c r="T547">
        <v>5</v>
      </c>
      <c r="U547">
        <v>5</v>
      </c>
      <c r="V547">
        <v>9</v>
      </c>
      <c r="W547" t="s">
        <v>69</v>
      </c>
      <c r="X547" t="s">
        <v>70</v>
      </c>
      <c r="Y547" t="s">
        <v>65</v>
      </c>
      <c r="Z547">
        <v>28</v>
      </c>
      <c r="AA547" t="s">
        <v>38</v>
      </c>
      <c r="AB547" t="str">
        <f t="shared" si="78"/>
        <v>United States</v>
      </c>
      <c r="AC547" t="s">
        <v>240</v>
      </c>
      <c r="AD547" t="str">
        <f t="shared" si="79"/>
        <v>Masters</v>
      </c>
      <c r="AE547" t="s">
        <v>58</v>
      </c>
      <c r="AF547" t="str">
        <f t="shared" si="80"/>
        <v>Black or African American</v>
      </c>
    </row>
    <row r="548" spans="1:32" x14ac:dyDescent="0.45">
      <c r="A548" t="s">
        <v>1594</v>
      </c>
      <c r="B548" t="s">
        <v>25</v>
      </c>
      <c r="C548" s="3" t="s">
        <v>1501</v>
      </c>
      <c r="D548" s="3" t="e">
        <f t="shared" si="72"/>
        <v>#VALUE!</v>
      </c>
      <c r="E548" t="s">
        <v>1595</v>
      </c>
      <c r="F548" s="4">
        <f t="shared" si="73"/>
        <v>0.96180555555555558</v>
      </c>
      <c r="G548" t="s">
        <v>352</v>
      </c>
      <c r="H548" t="s">
        <v>30</v>
      </c>
      <c r="I548" t="str">
        <f t="shared" si="74"/>
        <v>Data Analyst</v>
      </c>
      <c r="J548" t="s">
        <v>43</v>
      </c>
      <c r="K548" t="s">
        <v>87</v>
      </c>
      <c r="L548">
        <f t="shared" si="75"/>
        <v>95.5</v>
      </c>
      <c r="M548" t="s">
        <v>712</v>
      </c>
      <c r="N548" t="str">
        <f t="shared" si="76"/>
        <v>Real Estate</v>
      </c>
      <c r="O548" t="s">
        <v>34</v>
      </c>
      <c r="P548" t="str">
        <f t="shared" si="77"/>
        <v>Python</v>
      </c>
      <c r="Q548">
        <v>7</v>
      </c>
      <c r="R548">
        <v>5</v>
      </c>
      <c r="S548">
        <v>6</v>
      </c>
      <c r="T548">
        <v>6</v>
      </c>
      <c r="U548">
        <v>4</v>
      </c>
      <c r="V548">
        <v>6</v>
      </c>
      <c r="W548" t="s">
        <v>85</v>
      </c>
      <c r="X548" t="s">
        <v>114</v>
      </c>
      <c r="Y548" t="s">
        <v>37</v>
      </c>
      <c r="Z548">
        <v>23</v>
      </c>
      <c r="AA548" t="s">
        <v>38</v>
      </c>
      <c r="AB548" t="str">
        <f t="shared" si="78"/>
        <v>United States</v>
      </c>
      <c r="AC548" t="s">
        <v>227</v>
      </c>
      <c r="AD548" t="str">
        <f t="shared" si="79"/>
        <v>High School</v>
      </c>
      <c r="AE548" t="s">
        <v>39</v>
      </c>
      <c r="AF548" t="str">
        <f t="shared" si="80"/>
        <v>White or Caucasian</v>
      </c>
    </row>
    <row r="549" spans="1:32" x14ac:dyDescent="0.45">
      <c r="A549" t="s">
        <v>1596</v>
      </c>
      <c r="B549" t="s">
        <v>25</v>
      </c>
      <c r="C549" s="3" t="s">
        <v>1597</v>
      </c>
      <c r="D549" s="3" t="e">
        <f t="shared" si="72"/>
        <v>#VALUE!</v>
      </c>
      <c r="E549" t="s">
        <v>1598</v>
      </c>
      <c r="F549" s="4">
        <f t="shared" si="73"/>
        <v>4.3749999999999997E-2</v>
      </c>
      <c r="G549" t="s">
        <v>731</v>
      </c>
      <c r="H549" t="s">
        <v>123</v>
      </c>
      <c r="I549" t="str">
        <f t="shared" si="74"/>
        <v>None</v>
      </c>
      <c r="J549" t="s">
        <v>43</v>
      </c>
      <c r="K549" t="s">
        <v>53</v>
      </c>
      <c r="L549">
        <f t="shared" si="75"/>
        <v>20</v>
      </c>
      <c r="M549" t="s">
        <v>45</v>
      </c>
      <c r="N549" t="str">
        <f t="shared" si="76"/>
        <v>Finance</v>
      </c>
      <c r="O549" t="s">
        <v>34</v>
      </c>
      <c r="P549" t="str">
        <f t="shared" si="77"/>
        <v>Python</v>
      </c>
      <c r="Q549">
        <v>3</v>
      </c>
      <c r="R549">
        <v>4</v>
      </c>
      <c r="S549">
        <v>8</v>
      </c>
      <c r="T549">
        <v>5</v>
      </c>
      <c r="U549">
        <v>5</v>
      </c>
      <c r="V549">
        <v>3</v>
      </c>
      <c r="W549" t="s">
        <v>85</v>
      </c>
      <c r="X549" t="s">
        <v>70</v>
      </c>
      <c r="Y549" t="s">
        <v>37</v>
      </c>
      <c r="Z549">
        <v>26</v>
      </c>
      <c r="AA549" t="s">
        <v>38</v>
      </c>
      <c r="AB549" t="str">
        <f t="shared" si="78"/>
        <v>United States</v>
      </c>
      <c r="AC549" t="s">
        <v>227</v>
      </c>
      <c r="AD549" t="str">
        <f t="shared" si="79"/>
        <v>High School</v>
      </c>
      <c r="AE549" t="s">
        <v>48</v>
      </c>
      <c r="AF549" t="str">
        <f t="shared" si="80"/>
        <v>Asian or Asian American</v>
      </c>
    </row>
    <row r="550" spans="1:32" x14ac:dyDescent="0.45">
      <c r="A550" t="s">
        <v>1599</v>
      </c>
      <c r="B550" t="s">
        <v>25</v>
      </c>
      <c r="C550" s="3" t="s">
        <v>1597</v>
      </c>
      <c r="D550" s="3" t="e">
        <f t="shared" si="72"/>
        <v>#VALUE!</v>
      </c>
      <c r="E550" t="s">
        <v>1402</v>
      </c>
      <c r="F550" s="4">
        <f t="shared" si="73"/>
        <v>0.18819444444444444</v>
      </c>
      <c r="G550" t="s">
        <v>344</v>
      </c>
      <c r="H550" t="s">
        <v>30</v>
      </c>
      <c r="I550" t="str">
        <f t="shared" si="74"/>
        <v>Data Analyst</v>
      </c>
      <c r="J550" t="s">
        <v>43</v>
      </c>
      <c r="K550" t="s">
        <v>94</v>
      </c>
      <c r="L550">
        <f t="shared" si="75"/>
        <v>75.5</v>
      </c>
      <c r="M550" t="s">
        <v>1600</v>
      </c>
      <c r="N550" t="str">
        <f t="shared" si="76"/>
        <v>Other</v>
      </c>
      <c r="O550" t="s">
        <v>34</v>
      </c>
      <c r="P550" t="str">
        <f t="shared" si="77"/>
        <v>Python</v>
      </c>
      <c r="Q550">
        <v>2</v>
      </c>
      <c r="R550">
        <v>4</v>
      </c>
      <c r="S550">
        <v>4</v>
      </c>
      <c r="T550">
        <v>3</v>
      </c>
      <c r="U550">
        <v>4</v>
      </c>
      <c r="V550">
        <v>4</v>
      </c>
      <c r="W550" t="s">
        <v>85</v>
      </c>
      <c r="X550" t="s">
        <v>56</v>
      </c>
      <c r="Y550" t="s">
        <v>37</v>
      </c>
      <c r="Z550">
        <v>25</v>
      </c>
      <c r="AA550" t="s">
        <v>199</v>
      </c>
      <c r="AB550" t="str">
        <f t="shared" si="78"/>
        <v>Other</v>
      </c>
      <c r="AC550" t="s">
        <v>237</v>
      </c>
      <c r="AD550" t="str">
        <f t="shared" si="79"/>
        <v>Bachelors</v>
      </c>
      <c r="AE550" t="s">
        <v>740</v>
      </c>
      <c r="AF550" t="str">
        <f t="shared" si="80"/>
        <v>Native Hawaiian or other Pacific Islander</v>
      </c>
    </row>
    <row r="551" spans="1:32" x14ac:dyDescent="0.45">
      <c r="A551" t="s">
        <v>1601</v>
      </c>
      <c r="B551" t="s">
        <v>25</v>
      </c>
      <c r="C551" s="3" t="s">
        <v>1597</v>
      </c>
      <c r="D551" s="3" t="e">
        <f t="shared" si="72"/>
        <v>#VALUE!</v>
      </c>
      <c r="E551" t="s">
        <v>1602</v>
      </c>
      <c r="F551" s="4">
        <f t="shared" si="73"/>
        <v>0.21249999999999999</v>
      </c>
      <c r="G551" t="s">
        <v>89</v>
      </c>
      <c r="H551" t="s">
        <v>30</v>
      </c>
      <c r="I551" t="str">
        <f t="shared" si="74"/>
        <v>Data Analyst</v>
      </c>
      <c r="J551" t="s">
        <v>43</v>
      </c>
      <c r="K551" t="s">
        <v>53</v>
      </c>
      <c r="L551">
        <f t="shared" si="75"/>
        <v>20</v>
      </c>
      <c r="M551" t="s">
        <v>103</v>
      </c>
      <c r="N551" t="str">
        <f t="shared" si="76"/>
        <v>Tech</v>
      </c>
      <c r="O551" t="s">
        <v>34</v>
      </c>
      <c r="P551" t="str">
        <f t="shared" si="77"/>
        <v>Python</v>
      </c>
      <c r="Q551">
        <v>0</v>
      </c>
      <c r="R551">
        <v>1</v>
      </c>
      <c r="S551">
        <v>2</v>
      </c>
      <c r="T551">
        <v>1</v>
      </c>
      <c r="U551">
        <v>1</v>
      </c>
      <c r="V551">
        <v>1</v>
      </c>
      <c r="W551" t="s">
        <v>85</v>
      </c>
      <c r="X551" t="s">
        <v>36</v>
      </c>
      <c r="Y551" t="s">
        <v>37</v>
      </c>
      <c r="Z551">
        <v>23</v>
      </c>
      <c r="AA551" t="s">
        <v>147</v>
      </c>
      <c r="AB551" t="str">
        <f t="shared" si="78"/>
        <v>India</v>
      </c>
      <c r="AC551" t="s">
        <v>237</v>
      </c>
      <c r="AD551" t="str">
        <f t="shared" si="79"/>
        <v>Bachelors</v>
      </c>
      <c r="AE551" t="s">
        <v>48</v>
      </c>
      <c r="AF551" t="str">
        <f t="shared" si="80"/>
        <v>Asian or Asian American</v>
      </c>
    </row>
    <row r="552" spans="1:32" x14ac:dyDescent="0.45">
      <c r="A552" t="s">
        <v>1603</v>
      </c>
      <c r="B552" t="s">
        <v>25</v>
      </c>
      <c r="C552" s="3" t="s">
        <v>1597</v>
      </c>
      <c r="D552" s="3" t="e">
        <f t="shared" si="72"/>
        <v>#VALUE!</v>
      </c>
      <c r="E552" t="s">
        <v>1604</v>
      </c>
      <c r="F552" s="4">
        <f t="shared" si="73"/>
        <v>0.23749999999999999</v>
      </c>
      <c r="G552" t="s">
        <v>1458</v>
      </c>
      <c r="H552" t="s">
        <v>123</v>
      </c>
      <c r="I552" t="str">
        <f t="shared" si="74"/>
        <v>None</v>
      </c>
      <c r="J552" t="s">
        <v>31</v>
      </c>
      <c r="K552" t="s">
        <v>53</v>
      </c>
      <c r="L552">
        <f t="shared" si="75"/>
        <v>20</v>
      </c>
      <c r="M552" t="s">
        <v>1605</v>
      </c>
      <c r="N552" t="str">
        <f t="shared" si="76"/>
        <v>Other</v>
      </c>
      <c r="O552" t="s">
        <v>1606</v>
      </c>
      <c r="P552" t="str">
        <f t="shared" si="77"/>
        <v>Other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 t="s">
        <v>85</v>
      </c>
      <c r="X552" t="s">
        <v>114</v>
      </c>
      <c r="Y552" t="s">
        <v>37</v>
      </c>
      <c r="Z552">
        <v>53</v>
      </c>
      <c r="AA552" t="s">
        <v>57</v>
      </c>
      <c r="AB552" t="str">
        <f t="shared" si="78"/>
        <v>Other</v>
      </c>
      <c r="AC552" t="s">
        <v>237</v>
      </c>
      <c r="AD552" t="str">
        <f t="shared" si="79"/>
        <v>Bachelors</v>
      </c>
      <c r="AE552" t="s">
        <v>58</v>
      </c>
      <c r="AF552" t="str">
        <f t="shared" si="80"/>
        <v>Black or African American</v>
      </c>
    </row>
    <row r="553" spans="1:32" x14ac:dyDescent="0.45">
      <c r="A553" t="s">
        <v>1607</v>
      </c>
      <c r="B553" t="s">
        <v>25</v>
      </c>
      <c r="C553" s="3" t="s">
        <v>1597</v>
      </c>
      <c r="D553" s="3" t="e">
        <f t="shared" si="72"/>
        <v>#VALUE!</v>
      </c>
      <c r="E553" t="s">
        <v>1608</v>
      </c>
      <c r="F553" s="4">
        <f t="shared" si="73"/>
        <v>0.24097222222222223</v>
      </c>
      <c r="G553" t="s">
        <v>171</v>
      </c>
      <c r="H553" t="s">
        <v>52</v>
      </c>
      <c r="I553" t="str">
        <f t="shared" si="74"/>
        <v>Data Engineer</v>
      </c>
      <c r="J553" t="s">
        <v>31</v>
      </c>
      <c r="K553" t="s">
        <v>53</v>
      </c>
      <c r="L553">
        <f t="shared" si="75"/>
        <v>20</v>
      </c>
      <c r="M553" t="s">
        <v>103</v>
      </c>
      <c r="N553" t="str">
        <f t="shared" si="76"/>
        <v>Tech</v>
      </c>
      <c r="O553" t="s">
        <v>34</v>
      </c>
      <c r="P553" t="str">
        <f t="shared" si="77"/>
        <v>Python</v>
      </c>
      <c r="Q553">
        <v>4</v>
      </c>
      <c r="R553">
        <v>6</v>
      </c>
      <c r="S553">
        <v>6</v>
      </c>
      <c r="T553">
        <v>3</v>
      </c>
      <c r="U553">
        <v>7</v>
      </c>
      <c r="V553">
        <v>9</v>
      </c>
      <c r="W553" t="s">
        <v>85</v>
      </c>
      <c r="X553" t="s">
        <v>70</v>
      </c>
      <c r="Y553" t="s">
        <v>65</v>
      </c>
      <c r="Z553">
        <v>33</v>
      </c>
      <c r="AA553" t="s">
        <v>709</v>
      </c>
      <c r="AB553" t="str">
        <f t="shared" si="78"/>
        <v>Other</v>
      </c>
      <c r="AC553" t="s">
        <v>237</v>
      </c>
      <c r="AD553" t="str">
        <f t="shared" si="79"/>
        <v>Bachelors</v>
      </c>
      <c r="AE553" t="s">
        <v>39</v>
      </c>
      <c r="AF553" t="str">
        <f t="shared" si="80"/>
        <v>White or Caucasian</v>
      </c>
    </row>
    <row r="554" spans="1:32" x14ac:dyDescent="0.45">
      <c r="A554" t="s">
        <v>1609</v>
      </c>
      <c r="B554" t="s">
        <v>25</v>
      </c>
      <c r="C554" s="3" t="s">
        <v>1597</v>
      </c>
      <c r="D554" s="3" t="e">
        <f t="shared" si="72"/>
        <v>#VALUE!</v>
      </c>
      <c r="E554" t="s">
        <v>1610</v>
      </c>
      <c r="F554" s="4">
        <f t="shared" si="73"/>
        <v>0.27361111111111114</v>
      </c>
      <c r="G554" t="s">
        <v>1611</v>
      </c>
      <c r="H554" t="s">
        <v>123</v>
      </c>
      <c r="I554" t="str">
        <f t="shared" si="74"/>
        <v>None</v>
      </c>
      <c r="J554" t="s">
        <v>31</v>
      </c>
      <c r="K554" t="s">
        <v>53</v>
      </c>
      <c r="L554">
        <f t="shared" si="75"/>
        <v>20</v>
      </c>
      <c r="M554" t="s">
        <v>45</v>
      </c>
      <c r="N554" t="str">
        <f t="shared" si="76"/>
        <v>Finance</v>
      </c>
      <c r="O554" t="s">
        <v>46</v>
      </c>
      <c r="P554" t="str">
        <f t="shared" si="77"/>
        <v>R</v>
      </c>
      <c r="Q554">
        <v>3</v>
      </c>
      <c r="R554">
        <v>5</v>
      </c>
      <c r="S554">
        <v>5</v>
      </c>
      <c r="T554">
        <v>4</v>
      </c>
      <c r="U554">
        <v>5</v>
      </c>
      <c r="V554">
        <v>6</v>
      </c>
      <c r="W554" t="s">
        <v>69</v>
      </c>
      <c r="X554" t="s">
        <v>70</v>
      </c>
      <c r="Y554" t="s">
        <v>37</v>
      </c>
      <c r="Z554">
        <v>39</v>
      </c>
      <c r="AA554" t="s">
        <v>78</v>
      </c>
      <c r="AB554" t="str">
        <f t="shared" si="78"/>
        <v>Other</v>
      </c>
      <c r="AC554" t="s">
        <v>227</v>
      </c>
      <c r="AD554" t="str">
        <f t="shared" si="79"/>
        <v>High School</v>
      </c>
      <c r="AE554" t="s">
        <v>58</v>
      </c>
      <c r="AF554" t="str">
        <f t="shared" si="80"/>
        <v>Black or African American</v>
      </c>
    </row>
    <row r="555" spans="1:32" x14ac:dyDescent="0.45">
      <c r="A555" t="s">
        <v>1612</v>
      </c>
      <c r="B555" t="s">
        <v>25</v>
      </c>
      <c r="C555" s="3" t="s">
        <v>1597</v>
      </c>
      <c r="D555" s="3" t="e">
        <f t="shared" si="72"/>
        <v>#VALUE!</v>
      </c>
      <c r="E555" t="s">
        <v>1613</v>
      </c>
      <c r="F555" s="4">
        <f t="shared" si="73"/>
        <v>0.27986111111111112</v>
      </c>
      <c r="G555" t="s">
        <v>126</v>
      </c>
      <c r="H555" t="s">
        <v>30</v>
      </c>
      <c r="I555" t="str">
        <f t="shared" si="74"/>
        <v>Data Analyst</v>
      </c>
      <c r="J555" t="s">
        <v>31</v>
      </c>
      <c r="K555" t="s">
        <v>53</v>
      </c>
      <c r="L555">
        <f t="shared" si="75"/>
        <v>20</v>
      </c>
      <c r="M555" t="s">
        <v>33</v>
      </c>
      <c r="N555" t="str">
        <f t="shared" si="76"/>
        <v>Healthcare</v>
      </c>
      <c r="O555" t="s">
        <v>1614</v>
      </c>
      <c r="P555" t="str">
        <f t="shared" si="77"/>
        <v>Other</v>
      </c>
      <c r="Q555">
        <v>6</v>
      </c>
      <c r="R555">
        <v>7</v>
      </c>
      <c r="S555">
        <v>5</v>
      </c>
      <c r="T555">
        <v>7</v>
      </c>
      <c r="U555">
        <v>7</v>
      </c>
      <c r="V555">
        <v>9</v>
      </c>
      <c r="W555" t="s">
        <v>69</v>
      </c>
      <c r="X555" t="s">
        <v>70</v>
      </c>
      <c r="Y555" t="s">
        <v>65</v>
      </c>
      <c r="Z555">
        <v>22</v>
      </c>
      <c r="AA555" t="s">
        <v>109</v>
      </c>
      <c r="AB555" t="str">
        <f t="shared" si="78"/>
        <v>United Kingdom</v>
      </c>
      <c r="AC555" t="s">
        <v>237</v>
      </c>
      <c r="AD555" t="str">
        <f t="shared" si="79"/>
        <v>Bachelors</v>
      </c>
      <c r="AE555" t="s">
        <v>39</v>
      </c>
      <c r="AF555" t="str">
        <f t="shared" si="80"/>
        <v>White or Caucasian</v>
      </c>
    </row>
    <row r="556" spans="1:32" x14ac:dyDescent="0.45">
      <c r="A556" t="s">
        <v>1615</v>
      </c>
      <c r="B556" t="s">
        <v>25</v>
      </c>
      <c r="C556" s="3" t="s">
        <v>1597</v>
      </c>
      <c r="D556" s="3" t="e">
        <f t="shared" si="72"/>
        <v>#VALUE!</v>
      </c>
      <c r="E556" t="s">
        <v>1616</v>
      </c>
      <c r="F556" s="4">
        <f t="shared" si="73"/>
        <v>0.28680555555555554</v>
      </c>
      <c r="G556" t="s">
        <v>157</v>
      </c>
      <c r="H556" t="s">
        <v>30</v>
      </c>
      <c r="I556" t="str">
        <f t="shared" si="74"/>
        <v>Data Analyst</v>
      </c>
      <c r="J556" t="s">
        <v>43</v>
      </c>
      <c r="K556" t="s">
        <v>44</v>
      </c>
      <c r="L556">
        <f t="shared" si="75"/>
        <v>53</v>
      </c>
      <c r="M556" t="s">
        <v>45</v>
      </c>
      <c r="N556" t="str">
        <f t="shared" si="76"/>
        <v>Finance</v>
      </c>
      <c r="O556" t="s">
        <v>34</v>
      </c>
      <c r="P556" t="str">
        <f t="shared" si="77"/>
        <v>Python</v>
      </c>
      <c r="Q556">
        <v>4</v>
      </c>
      <c r="R556">
        <v>7</v>
      </c>
      <c r="S556">
        <v>7</v>
      </c>
      <c r="T556">
        <v>7</v>
      </c>
      <c r="U556">
        <v>5</v>
      </c>
      <c r="V556">
        <v>5</v>
      </c>
      <c r="W556" t="s">
        <v>55</v>
      </c>
      <c r="X556" t="s">
        <v>70</v>
      </c>
      <c r="Y556" t="s">
        <v>37</v>
      </c>
      <c r="Z556">
        <v>24</v>
      </c>
      <c r="AA556" t="s">
        <v>267</v>
      </c>
      <c r="AB556" t="str">
        <f t="shared" si="78"/>
        <v>Other</v>
      </c>
      <c r="AC556" t="s">
        <v>237</v>
      </c>
      <c r="AD556" t="str">
        <f t="shared" si="79"/>
        <v>Bachelors</v>
      </c>
      <c r="AE556" t="s">
        <v>39</v>
      </c>
      <c r="AF556" t="str">
        <f t="shared" si="80"/>
        <v>White or Caucasian</v>
      </c>
    </row>
    <row r="557" spans="1:32" x14ac:dyDescent="0.45">
      <c r="A557" t="s">
        <v>1617</v>
      </c>
      <c r="B557" t="s">
        <v>25</v>
      </c>
      <c r="C557" s="3" t="s">
        <v>1597</v>
      </c>
      <c r="D557" s="3" t="e">
        <f t="shared" si="72"/>
        <v>#VALUE!</v>
      </c>
      <c r="E557" t="s">
        <v>383</v>
      </c>
      <c r="F557" s="4">
        <f t="shared" si="73"/>
        <v>0.39930555555555558</v>
      </c>
      <c r="G557" t="s">
        <v>336</v>
      </c>
      <c r="H557" t="s">
        <v>724</v>
      </c>
      <c r="I557" t="str">
        <f t="shared" si="74"/>
        <v>Data Architect</v>
      </c>
      <c r="J557" t="s">
        <v>43</v>
      </c>
      <c r="K557" t="s">
        <v>87</v>
      </c>
      <c r="L557">
        <f t="shared" si="75"/>
        <v>95.5</v>
      </c>
      <c r="M557" t="s">
        <v>155</v>
      </c>
      <c r="N557" t="str">
        <f t="shared" si="76"/>
        <v>Other</v>
      </c>
      <c r="O557" t="s">
        <v>34</v>
      </c>
      <c r="P557" t="str">
        <f t="shared" si="77"/>
        <v>Python</v>
      </c>
      <c r="Q557">
        <v>5</v>
      </c>
      <c r="R557">
        <v>1</v>
      </c>
      <c r="S557">
        <v>3</v>
      </c>
      <c r="T557">
        <v>1</v>
      </c>
      <c r="U557">
        <v>4</v>
      </c>
      <c r="V557">
        <v>5</v>
      </c>
      <c r="W557" t="s">
        <v>69</v>
      </c>
      <c r="X557" t="s">
        <v>56</v>
      </c>
      <c r="Y557" t="s">
        <v>37</v>
      </c>
      <c r="Z557">
        <v>31</v>
      </c>
      <c r="AA557" t="s">
        <v>47</v>
      </c>
      <c r="AB557" t="str">
        <f t="shared" si="78"/>
        <v>Canada</v>
      </c>
      <c r="AC557" t="s">
        <v>227</v>
      </c>
      <c r="AD557" t="str">
        <f t="shared" si="79"/>
        <v>High School</v>
      </c>
      <c r="AE557" t="s">
        <v>39</v>
      </c>
      <c r="AF557" t="str">
        <f t="shared" si="80"/>
        <v>White or Caucasian</v>
      </c>
    </row>
    <row r="558" spans="1:32" x14ac:dyDescent="0.45">
      <c r="A558" t="s">
        <v>1618</v>
      </c>
      <c r="B558" t="s">
        <v>25</v>
      </c>
      <c r="C558" s="3" t="s">
        <v>1597</v>
      </c>
      <c r="D558" s="3" t="e">
        <f t="shared" si="72"/>
        <v>#VALUE!</v>
      </c>
      <c r="E558" t="s">
        <v>560</v>
      </c>
      <c r="F558" s="4">
        <f t="shared" si="73"/>
        <v>0.44513888888888886</v>
      </c>
      <c r="G558" t="s">
        <v>507</v>
      </c>
      <c r="H558" t="s">
        <v>30</v>
      </c>
      <c r="I558" t="str">
        <f t="shared" si="74"/>
        <v>Data Analyst</v>
      </c>
      <c r="J558" t="s">
        <v>31</v>
      </c>
      <c r="K558" t="s">
        <v>53</v>
      </c>
      <c r="L558">
        <f t="shared" si="75"/>
        <v>20</v>
      </c>
      <c r="M558" t="s">
        <v>1619</v>
      </c>
      <c r="N558" t="str">
        <f t="shared" si="76"/>
        <v>Other</v>
      </c>
      <c r="O558" t="s">
        <v>34</v>
      </c>
      <c r="P558" t="str">
        <f t="shared" si="77"/>
        <v>Python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35</v>
      </c>
      <c r="X558" t="s">
        <v>70</v>
      </c>
      <c r="Y558" t="s">
        <v>37</v>
      </c>
      <c r="Z558">
        <v>25</v>
      </c>
      <c r="AA558" t="s">
        <v>1620</v>
      </c>
      <c r="AB558" t="str">
        <f t="shared" si="78"/>
        <v>Other</v>
      </c>
      <c r="AC558" t="s">
        <v>237</v>
      </c>
      <c r="AD558" t="str">
        <f t="shared" si="79"/>
        <v>Bachelors</v>
      </c>
      <c r="AE558" t="s">
        <v>48</v>
      </c>
      <c r="AF558" t="str">
        <f t="shared" si="80"/>
        <v>Asian or Asian American</v>
      </c>
    </row>
    <row r="559" spans="1:32" x14ac:dyDescent="0.45">
      <c r="A559" t="s">
        <v>1621</v>
      </c>
      <c r="B559" t="s">
        <v>25</v>
      </c>
      <c r="C559" s="3" t="s">
        <v>1597</v>
      </c>
      <c r="D559" s="3" t="e">
        <f t="shared" si="72"/>
        <v>#VALUE!</v>
      </c>
      <c r="E559" t="s">
        <v>1622</v>
      </c>
      <c r="F559" s="4">
        <f t="shared" si="73"/>
        <v>0.51875000000000004</v>
      </c>
      <c r="G559" t="s">
        <v>150</v>
      </c>
      <c r="H559" t="s">
        <v>123</v>
      </c>
      <c r="I559" t="str">
        <f t="shared" si="74"/>
        <v>None</v>
      </c>
      <c r="J559" t="s">
        <v>43</v>
      </c>
      <c r="K559" t="s">
        <v>53</v>
      </c>
      <c r="L559">
        <f t="shared" si="75"/>
        <v>20</v>
      </c>
      <c r="M559" t="s">
        <v>103</v>
      </c>
      <c r="N559" t="str">
        <f t="shared" si="76"/>
        <v>Tech</v>
      </c>
      <c r="O559" t="s">
        <v>46</v>
      </c>
      <c r="P559" t="str">
        <f t="shared" si="77"/>
        <v>R</v>
      </c>
      <c r="Q559">
        <v>4</v>
      </c>
      <c r="R559">
        <v>7</v>
      </c>
      <c r="S559">
        <v>7</v>
      </c>
      <c r="T559">
        <v>6</v>
      </c>
      <c r="U559">
        <v>6</v>
      </c>
      <c r="V559">
        <v>6</v>
      </c>
      <c r="W559" t="s">
        <v>85</v>
      </c>
      <c r="X559" t="s">
        <v>70</v>
      </c>
      <c r="Y559" t="s">
        <v>37</v>
      </c>
      <c r="Z559">
        <v>25</v>
      </c>
      <c r="AA559" t="s">
        <v>147</v>
      </c>
      <c r="AB559" t="str">
        <f t="shared" si="78"/>
        <v>India</v>
      </c>
      <c r="AC559" t="s">
        <v>237</v>
      </c>
      <c r="AD559" t="str">
        <f t="shared" si="79"/>
        <v>Bachelors</v>
      </c>
      <c r="AE559" t="s">
        <v>48</v>
      </c>
      <c r="AF559" t="str">
        <f t="shared" si="80"/>
        <v>Asian or Asian American</v>
      </c>
    </row>
    <row r="560" spans="1:32" x14ac:dyDescent="0.45">
      <c r="A560" t="s">
        <v>1623</v>
      </c>
      <c r="B560" t="s">
        <v>25</v>
      </c>
      <c r="C560" s="3" t="s">
        <v>1597</v>
      </c>
      <c r="D560" s="3" t="e">
        <f t="shared" si="72"/>
        <v>#VALUE!</v>
      </c>
      <c r="E560" t="s">
        <v>1624</v>
      </c>
      <c r="F560" s="4">
        <f t="shared" si="73"/>
        <v>0.5444444444444444</v>
      </c>
      <c r="G560" t="s">
        <v>150</v>
      </c>
      <c r="H560" t="s">
        <v>30</v>
      </c>
      <c r="I560" t="str">
        <f t="shared" si="74"/>
        <v>Data Analyst</v>
      </c>
      <c r="J560" t="s">
        <v>43</v>
      </c>
      <c r="K560" t="s">
        <v>53</v>
      </c>
      <c r="L560">
        <f t="shared" si="75"/>
        <v>20</v>
      </c>
      <c r="M560" t="s">
        <v>103</v>
      </c>
      <c r="N560" t="str">
        <f t="shared" si="76"/>
        <v>Tech</v>
      </c>
      <c r="O560" t="s">
        <v>34</v>
      </c>
      <c r="P560" t="str">
        <f t="shared" si="77"/>
        <v>Python</v>
      </c>
      <c r="Q560">
        <v>3</v>
      </c>
      <c r="R560">
        <v>4</v>
      </c>
      <c r="S560">
        <v>4</v>
      </c>
      <c r="T560">
        <v>4</v>
      </c>
      <c r="U560">
        <v>2</v>
      </c>
      <c r="V560">
        <v>0</v>
      </c>
      <c r="W560" t="s">
        <v>85</v>
      </c>
      <c r="X560" t="s">
        <v>56</v>
      </c>
      <c r="Y560" t="s">
        <v>37</v>
      </c>
      <c r="Z560">
        <v>23</v>
      </c>
      <c r="AA560" t="s">
        <v>147</v>
      </c>
      <c r="AB560" t="str">
        <f t="shared" si="78"/>
        <v>India</v>
      </c>
      <c r="AC560" t="s">
        <v>237</v>
      </c>
      <c r="AD560" t="str">
        <f t="shared" si="79"/>
        <v>Bachelors</v>
      </c>
      <c r="AE560" t="s">
        <v>48</v>
      </c>
      <c r="AF560" t="str">
        <f t="shared" si="80"/>
        <v>Asian or Asian American</v>
      </c>
    </row>
    <row r="561" spans="1:32" x14ac:dyDescent="0.45">
      <c r="A561" t="s">
        <v>1625</v>
      </c>
      <c r="B561" t="s">
        <v>25</v>
      </c>
      <c r="C561" s="3" t="s">
        <v>1597</v>
      </c>
      <c r="D561" s="3" t="e">
        <f t="shared" si="72"/>
        <v>#VALUE!</v>
      </c>
      <c r="E561" t="s">
        <v>798</v>
      </c>
      <c r="F561" s="4">
        <f t="shared" si="73"/>
        <v>0.58472222222222225</v>
      </c>
      <c r="G561" t="s">
        <v>389</v>
      </c>
      <c r="H561" t="s">
        <v>1626</v>
      </c>
      <c r="I561" t="str">
        <f t="shared" si="74"/>
        <v>Other</v>
      </c>
      <c r="J561" t="s">
        <v>31</v>
      </c>
      <c r="K561" t="s">
        <v>44</v>
      </c>
      <c r="L561">
        <f t="shared" si="75"/>
        <v>53</v>
      </c>
      <c r="M561" t="s">
        <v>1627</v>
      </c>
      <c r="N561" t="str">
        <f t="shared" si="76"/>
        <v>Other</v>
      </c>
      <c r="O561" t="s">
        <v>318</v>
      </c>
      <c r="P561" t="str">
        <f t="shared" si="77"/>
        <v>Other</v>
      </c>
      <c r="Q561">
        <v>6</v>
      </c>
      <c r="R561">
        <v>7</v>
      </c>
      <c r="S561">
        <v>7</v>
      </c>
      <c r="T561">
        <v>7</v>
      </c>
      <c r="U561">
        <v>7</v>
      </c>
      <c r="V561">
        <v>6</v>
      </c>
      <c r="W561" t="s">
        <v>85</v>
      </c>
      <c r="X561" t="s">
        <v>1628</v>
      </c>
      <c r="Y561" t="s">
        <v>37</v>
      </c>
      <c r="Z561">
        <v>23</v>
      </c>
      <c r="AA561" t="s">
        <v>147</v>
      </c>
      <c r="AB561" t="str">
        <f t="shared" si="78"/>
        <v>India</v>
      </c>
      <c r="AC561" t="s">
        <v>237</v>
      </c>
      <c r="AD561" t="str">
        <f t="shared" si="79"/>
        <v>Bachelors</v>
      </c>
      <c r="AE561" t="s">
        <v>48</v>
      </c>
      <c r="AF561" t="str">
        <f t="shared" si="80"/>
        <v>Asian or Asian American</v>
      </c>
    </row>
    <row r="562" spans="1:32" x14ac:dyDescent="0.45">
      <c r="A562" t="s">
        <v>1629</v>
      </c>
      <c r="B562" t="s">
        <v>25</v>
      </c>
      <c r="C562" s="3" t="s">
        <v>1597</v>
      </c>
      <c r="D562" s="3" t="e">
        <f t="shared" si="72"/>
        <v>#VALUE!</v>
      </c>
      <c r="E562" t="s">
        <v>945</v>
      </c>
      <c r="F562" s="4">
        <f t="shared" si="73"/>
        <v>0.7006944444444444</v>
      </c>
      <c r="G562" t="s">
        <v>135</v>
      </c>
      <c r="H562" t="s">
        <v>30</v>
      </c>
      <c r="I562" t="str">
        <f t="shared" si="74"/>
        <v>Data Analyst</v>
      </c>
      <c r="J562" t="s">
        <v>43</v>
      </c>
      <c r="K562" t="s">
        <v>87</v>
      </c>
      <c r="L562">
        <f t="shared" si="75"/>
        <v>95.5</v>
      </c>
      <c r="M562" t="s">
        <v>33</v>
      </c>
      <c r="N562" t="str">
        <f t="shared" si="76"/>
        <v>Healthcare</v>
      </c>
      <c r="O562" t="s">
        <v>34</v>
      </c>
      <c r="P562" t="str">
        <f t="shared" si="77"/>
        <v>Python</v>
      </c>
      <c r="Q562">
        <v>8</v>
      </c>
      <c r="R562">
        <v>9</v>
      </c>
      <c r="S562">
        <v>8</v>
      </c>
      <c r="T562">
        <v>8</v>
      </c>
      <c r="U562">
        <v>8</v>
      </c>
      <c r="V562">
        <v>9</v>
      </c>
      <c r="W562" t="s">
        <v>69</v>
      </c>
      <c r="X562" t="s">
        <v>70</v>
      </c>
      <c r="Y562" t="s">
        <v>37</v>
      </c>
      <c r="Z562">
        <v>40</v>
      </c>
      <c r="AA562" t="s">
        <v>38</v>
      </c>
      <c r="AB562" t="str">
        <f t="shared" si="78"/>
        <v>United States</v>
      </c>
      <c r="AC562" t="s">
        <v>227</v>
      </c>
      <c r="AD562" t="str">
        <f t="shared" si="79"/>
        <v>High School</v>
      </c>
      <c r="AE562" t="s">
        <v>39</v>
      </c>
      <c r="AF562" t="str">
        <f t="shared" si="80"/>
        <v>White or Caucasian</v>
      </c>
    </row>
    <row r="563" spans="1:32" x14ac:dyDescent="0.45">
      <c r="A563" t="s">
        <v>1630</v>
      </c>
      <c r="B563" t="s">
        <v>25</v>
      </c>
      <c r="C563" s="3" t="s">
        <v>1597</v>
      </c>
      <c r="D563" s="3" t="e">
        <f t="shared" si="72"/>
        <v>#VALUE!</v>
      </c>
      <c r="E563" t="s">
        <v>1631</v>
      </c>
      <c r="F563" s="4">
        <f t="shared" si="73"/>
        <v>0.72638888888888886</v>
      </c>
      <c r="G563" t="s">
        <v>371</v>
      </c>
      <c r="H563" t="s">
        <v>30</v>
      </c>
      <c r="I563" t="str">
        <f t="shared" si="74"/>
        <v>Data Analyst</v>
      </c>
      <c r="J563" t="s">
        <v>43</v>
      </c>
      <c r="K563" t="s">
        <v>44</v>
      </c>
      <c r="L563">
        <f t="shared" si="75"/>
        <v>53</v>
      </c>
      <c r="M563" t="s">
        <v>1632</v>
      </c>
      <c r="N563" t="str">
        <f t="shared" si="76"/>
        <v>Other</v>
      </c>
      <c r="O563" t="s">
        <v>257</v>
      </c>
      <c r="P563" t="str">
        <f t="shared" si="77"/>
        <v>C/C++</v>
      </c>
      <c r="Q563">
        <v>5</v>
      </c>
      <c r="R563">
        <v>6</v>
      </c>
      <c r="S563">
        <v>6</v>
      </c>
      <c r="T563">
        <v>2</v>
      </c>
      <c r="U563">
        <v>0</v>
      </c>
      <c r="V563">
        <v>4</v>
      </c>
      <c r="W563" t="s">
        <v>85</v>
      </c>
      <c r="X563" t="s">
        <v>70</v>
      </c>
      <c r="Y563" t="s">
        <v>37</v>
      </c>
      <c r="Z563">
        <v>29</v>
      </c>
      <c r="AA563" t="s">
        <v>38</v>
      </c>
      <c r="AB563" t="str">
        <f t="shared" si="78"/>
        <v>United States</v>
      </c>
      <c r="AC563" t="s">
        <v>237</v>
      </c>
      <c r="AD563" t="str">
        <f t="shared" si="79"/>
        <v>Bachelors</v>
      </c>
      <c r="AE563" t="s">
        <v>91</v>
      </c>
      <c r="AF563" t="str">
        <f t="shared" si="80"/>
        <v>Hispanic or Latino</v>
      </c>
    </row>
    <row r="564" spans="1:32" x14ac:dyDescent="0.45">
      <c r="A564" t="s">
        <v>1633</v>
      </c>
      <c r="B564" t="s">
        <v>25</v>
      </c>
      <c r="C564" s="3" t="s">
        <v>1597</v>
      </c>
      <c r="D564" s="3" t="e">
        <f t="shared" si="72"/>
        <v>#VALUE!</v>
      </c>
      <c r="E564" t="s">
        <v>1634</v>
      </c>
      <c r="F564" s="4">
        <f t="shared" si="73"/>
        <v>0.73124999999999996</v>
      </c>
      <c r="G564" t="s">
        <v>1491</v>
      </c>
      <c r="H564" t="s">
        <v>30</v>
      </c>
      <c r="I564" t="str">
        <f t="shared" si="74"/>
        <v>Data Analyst</v>
      </c>
      <c r="J564" t="s">
        <v>31</v>
      </c>
      <c r="K564" t="s">
        <v>53</v>
      </c>
      <c r="L564">
        <f t="shared" si="75"/>
        <v>20</v>
      </c>
      <c r="M564" t="s">
        <v>103</v>
      </c>
      <c r="N564" t="str">
        <f t="shared" si="76"/>
        <v>Tech</v>
      </c>
      <c r="O564" t="s">
        <v>34</v>
      </c>
      <c r="P564" t="str">
        <f t="shared" si="77"/>
        <v>Python</v>
      </c>
      <c r="Q564">
        <v>1</v>
      </c>
      <c r="R564">
        <v>7</v>
      </c>
      <c r="S564">
        <v>5</v>
      </c>
      <c r="T564">
        <v>5</v>
      </c>
      <c r="U564">
        <v>4</v>
      </c>
      <c r="V564">
        <v>4</v>
      </c>
      <c r="W564" t="s">
        <v>69</v>
      </c>
      <c r="X564" t="s">
        <v>70</v>
      </c>
      <c r="Y564" t="s">
        <v>37</v>
      </c>
      <c r="Z564">
        <v>28</v>
      </c>
      <c r="AA564" t="s">
        <v>147</v>
      </c>
      <c r="AB564" t="str">
        <f t="shared" si="78"/>
        <v>India</v>
      </c>
      <c r="AC564" t="s">
        <v>237</v>
      </c>
      <c r="AD564" t="str">
        <f t="shared" si="79"/>
        <v>Bachelors</v>
      </c>
      <c r="AE564" t="s">
        <v>1635</v>
      </c>
      <c r="AF564" t="str">
        <f t="shared" si="80"/>
        <v>Other</v>
      </c>
    </row>
    <row r="565" spans="1:32" x14ac:dyDescent="0.45">
      <c r="A565" t="s">
        <v>1636</v>
      </c>
      <c r="B565" t="s">
        <v>25</v>
      </c>
      <c r="C565" s="3" t="s">
        <v>1597</v>
      </c>
      <c r="D565" s="3" t="e">
        <f t="shared" si="72"/>
        <v>#VALUE!</v>
      </c>
      <c r="E565" t="s">
        <v>1637</v>
      </c>
      <c r="F565" s="4">
        <f t="shared" si="73"/>
        <v>0.74236111111111114</v>
      </c>
      <c r="G565" t="s">
        <v>250</v>
      </c>
      <c r="H565" t="s">
        <v>30</v>
      </c>
      <c r="I565" t="str">
        <f t="shared" si="74"/>
        <v>Data Analyst</v>
      </c>
      <c r="J565" t="s">
        <v>31</v>
      </c>
      <c r="K565" t="s">
        <v>53</v>
      </c>
      <c r="L565">
        <f t="shared" si="75"/>
        <v>20</v>
      </c>
      <c r="M565" t="s">
        <v>33</v>
      </c>
      <c r="N565" t="str">
        <f t="shared" si="76"/>
        <v>Healthcare</v>
      </c>
      <c r="O565" t="s">
        <v>46</v>
      </c>
      <c r="P565" t="str">
        <f t="shared" si="77"/>
        <v>R</v>
      </c>
      <c r="Q565">
        <v>3</v>
      </c>
      <c r="R565">
        <v>6</v>
      </c>
      <c r="S565">
        <v>6</v>
      </c>
      <c r="T565">
        <v>4</v>
      </c>
      <c r="U565">
        <v>6</v>
      </c>
      <c r="V565">
        <v>3</v>
      </c>
      <c r="W565" t="s">
        <v>64</v>
      </c>
      <c r="X565" t="s">
        <v>70</v>
      </c>
      <c r="Y565" t="s">
        <v>65</v>
      </c>
      <c r="Z565">
        <v>28</v>
      </c>
      <c r="AA565" t="s">
        <v>109</v>
      </c>
      <c r="AB565" t="str">
        <f t="shared" si="78"/>
        <v>United Kingdom</v>
      </c>
      <c r="AC565" t="s">
        <v>240</v>
      </c>
      <c r="AD565" t="str">
        <f t="shared" si="79"/>
        <v>Masters</v>
      </c>
      <c r="AE565" t="s">
        <v>58</v>
      </c>
      <c r="AF565" t="str">
        <f t="shared" si="80"/>
        <v>Black or African American</v>
      </c>
    </row>
    <row r="566" spans="1:32" x14ac:dyDescent="0.45">
      <c r="A566" t="s">
        <v>1638</v>
      </c>
      <c r="B566" t="s">
        <v>25</v>
      </c>
      <c r="C566" s="3" t="s">
        <v>1597</v>
      </c>
      <c r="D566" s="3" t="e">
        <f t="shared" si="72"/>
        <v>#VALUE!</v>
      </c>
      <c r="E566" t="s">
        <v>1639</v>
      </c>
      <c r="F566" s="4">
        <f t="shared" si="73"/>
        <v>0.97916666666666663</v>
      </c>
      <c r="G566" t="s">
        <v>963</v>
      </c>
      <c r="H566" t="s">
        <v>123</v>
      </c>
      <c r="I566" t="str">
        <f t="shared" si="74"/>
        <v>None</v>
      </c>
      <c r="J566" t="s">
        <v>31</v>
      </c>
      <c r="K566" t="s">
        <v>53</v>
      </c>
      <c r="L566">
        <f t="shared" si="75"/>
        <v>20</v>
      </c>
      <c r="M566" t="s">
        <v>90</v>
      </c>
      <c r="N566" t="str">
        <f t="shared" si="76"/>
        <v>Telecommunication</v>
      </c>
      <c r="O566" t="s">
        <v>34</v>
      </c>
      <c r="P566" t="str">
        <f t="shared" si="77"/>
        <v>Python</v>
      </c>
      <c r="Q566">
        <v>0</v>
      </c>
      <c r="R566">
        <v>3</v>
      </c>
      <c r="S566">
        <v>3</v>
      </c>
      <c r="T566">
        <v>4</v>
      </c>
      <c r="U566">
        <v>5</v>
      </c>
      <c r="V566">
        <v>5</v>
      </c>
      <c r="W566" t="s">
        <v>69</v>
      </c>
      <c r="X566" t="s">
        <v>56</v>
      </c>
      <c r="Y566" t="s">
        <v>65</v>
      </c>
      <c r="Z566">
        <v>26</v>
      </c>
      <c r="AA566" t="s">
        <v>147</v>
      </c>
      <c r="AB566" t="str">
        <f t="shared" si="78"/>
        <v>India</v>
      </c>
      <c r="AC566" t="s">
        <v>240</v>
      </c>
      <c r="AD566" t="str">
        <f t="shared" si="79"/>
        <v>Masters</v>
      </c>
      <c r="AE566" t="s">
        <v>48</v>
      </c>
      <c r="AF566" t="str">
        <f t="shared" si="80"/>
        <v>Asian or Asian American</v>
      </c>
    </row>
    <row r="567" spans="1:32" x14ac:dyDescent="0.45">
      <c r="A567" t="s">
        <v>1640</v>
      </c>
      <c r="B567" t="s">
        <v>25</v>
      </c>
      <c r="C567" s="3" t="s">
        <v>1641</v>
      </c>
      <c r="D567" s="3" t="e">
        <f t="shared" si="72"/>
        <v>#VALUE!</v>
      </c>
      <c r="E567" t="s">
        <v>1642</v>
      </c>
      <c r="F567" s="4">
        <f t="shared" si="73"/>
        <v>2.0833333333333332E-2</v>
      </c>
      <c r="G567" t="s">
        <v>288</v>
      </c>
      <c r="H567" t="s">
        <v>52</v>
      </c>
      <c r="I567" t="str">
        <f t="shared" si="74"/>
        <v>Data Engineer</v>
      </c>
      <c r="J567" t="s">
        <v>43</v>
      </c>
      <c r="K567" t="s">
        <v>44</v>
      </c>
      <c r="L567">
        <f t="shared" si="75"/>
        <v>53</v>
      </c>
      <c r="M567" t="s">
        <v>113</v>
      </c>
      <c r="N567" t="str">
        <f t="shared" si="76"/>
        <v>Construction</v>
      </c>
      <c r="O567" t="s">
        <v>34</v>
      </c>
      <c r="P567" t="str">
        <f t="shared" si="77"/>
        <v>Python</v>
      </c>
      <c r="Q567">
        <v>6</v>
      </c>
      <c r="R567">
        <v>8</v>
      </c>
      <c r="S567">
        <v>8</v>
      </c>
      <c r="T567">
        <v>5</v>
      </c>
      <c r="U567">
        <v>5</v>
      </c>
      <c r="V567">
        <v>5</v>
      </c>
      <c r="W567" t="s">
        <v>85</v>
      </c>
      <c r="X567" t="s">
        <v>70</v>
      </c>
      <c r="Y567" t="s">
        <v>37</v>
      </c>
      <c r="Z567">
        <v>30</v>
      </c>
      <c r="AA567" t="s">
        <v>319</v>
      </c>
      <c r="AB567" t="str">
        <f t="shared" si="78"/>
        <v>Other</v>
      </c>
      <c r="AC567" t="s">
        <v>240</v>
      </c>
      <c r="AD567" t="str">
        <f t="shared" si="79"/>
        <v>Masters</v>
      </c>
      <c r="AE567" t="s">
        <v>39</v>
      </c>
      <c r="AF567" t="str">
        <f t="shared" si="80"/>
        <v>White or Caucasian</v>
      </c>
    </row>
    <row r="568" spans="1:32" x14ac:dyDescent="0.45">
      <c r="A568" t="s">
        <v>1643</v>
      </c>
      <c r="B568" t="s">
        <v>25</v>
      </c>
      <c r="C568" s="3" t="s">
        <v>1641</v>
      </c>
      <c r="D568" s="3" t="e">
        <f t="shared" si="72"/>
        <v>#VALUE!</v>
      </c>
      <c r="E568" t="s">
        <v>1644</v>
      </c>
      <c r="F568" s="4">
        <f t="shared" si="73"/>
        <v>2.2916666666666665E-2</v>
      </c>
      <c r="G568" t="s">
        <v>467</v>
      </c>
      <c r="H568" t="s">
        <v>30</v>
      </c>
      <c r="I568" t="str">
        <f t="shared" si="74"/>
        <v>Data Analyst</v>
      </c>
      <c r="J568" t="s">
        <v>31</v>
      </c>
      <c r="K568" t="s">
        <v>94</v>
      </c>
      <c r="L568">
        <f t="shared" si="75"/>
        <v>75.5</v>
      </c>
      <c r="M568" t="s">
        <v>108</v>
      </c>
      <c r="N568" t="str">
        <f t="shared" si="76"/>
        <v>Education</v>
      </c>
      <c r="O568" t="s">
        <v>84</v>
      </c>
      <c r="P568" t="str">
        <f t="shared" si="77"/>
        <v>Other</v>
      </c>
      <c r="Q568">
        <v>5</v>
      </c>
      <c r="R568">
        <v>9</v>
      </c>
      <c r="S568">
        <v>7</v>
      </c>
      <c r="T568">
        <v>9</v>
      </c>
      <c r="U568">
        <v>8</v>
      </c>
      <c r="V568">
        <v>9</v>
      </c>
      <c r="W568" t="s">
        <v>85</v>
      </c>
      <c r="X568" t="s">
        <v>70</v>
      </c>
      <c r="Y568" t="s">
        <v>37</v>
      </c>
      <c r="Z568">
        <v>27</v>
      </c>
      <c r="AA568" t="s">
        <v>199</v>
      </c>
      <c r="AB568" t="str">
        <f t="shared" si="78"/>
        <v>Other</v>
      </c>
      <c r="AC568" t="s">
        <v>237</v>
      </c>
      <c r="AD568" t="str">
        <f t="shared" si="79"/>
        <v>Bachelors</v>
      </c>
      <c r="AE568" t="s">
        <v>48</v>
      </c>
      <c r="AF568" t="str">
        <f t="shared" si="80"/>
        <v>Asian or Asian American</v>
      </c>
    </row>
    <row r="569" spans="1:32" x14ac:dyDescent="0.45">
      <c r="A569" t="s">
        <v>1645</v>
      </c>
      <c r="B569" t="s">
        <v>25</v>
      </c>
      <c r="C569" s="3" t="s">
        <v>1641</v>
      </c>
      <c r="D569" s="3" t="e">
        <f t="shared" si="72"/>
        <v>#VALUE!</v>
      </c>
      <c r="E569" t="s">
        <v>1646</v>
      </c>
      <c r="F569" s="4">
        <f t="shared" si="73"/>
        <v>2.6388888888888889E-2</v>
      </c>
      <c r="G569" t="s">
        <v>112</v>
      </c>
      <c r="H569" t="s">
        <v>30</v>
      </c>
      <c r="I569" t="str">
        <f t="shared" si="74"/>
        <v>Data Analyst</v>
      </c>
      <c r="J569" t="s">
        <v>31</v>
      </c>
      <c r="K569" t="s">
        <v>53</v>
      </c>
      <c r="L569">
        <f t="shared" si="75"/>
        <v>20</v>
      </c>
      <c r="M569" t="s">
        <v>1647</v>
      </c>
      <c r="N569" t="str">
        <f t="shared" si="76"/>
        <v>Other</v>
      </c>
      <c r="O569" t="s">
        <v>674</v>
      </c>
      <c r="P569" t="str">
        <f t="shared" si="77"/>
        <v>Other</v>
      </c>
      <c r="Q569">
        <v>2</v>
      </c>
      <c r="R569">
        <v>0</v>
      </c>
      <c r="S569">
        <v>5</v>
      </c>
      <c r="T569">
        <v>3</v>
      </c>
      <c r="U569">
        <v>0</v>
      </c>
      <c r="V569">
        <v>3</v>
      </c>
      <c r="W569" t="s">
        <v>35</v>
      </c>
      <c r="X569" t="s">
        <v>36</v>
      </c>
      <c r="Y569" t="s">
        <v>37</v>
      </c>
      <c r="Z569">
        <v>28</v>
      </c>
      <c r="AA569" t="s">
        <v>57</v>
      </c>
      <c r="AB569" t="str">
        <f t="shared" si="78"/>
        <v>Other</v>
      </c>
      <c r="AC569" t="s">
        <v>237</v>
      </c>
      <c r="AD569" t="str">
        <f t="shared" si="79"/>
        <v>Bachelors</v>
      </c>
      <c r="AE569" t="s">
        <v>58</v>
      </c>
      <c r="AF569" t="str">
        <f t="shared" si="80"/>
        <v>Black or African American</v>
      </c>
    </row>
    <row r="570" spans="1:32" x14ac:dyDescent="0.45">
      <c r="A570" t="s">
        <v>1648</v>
      </c>
      <c r="B570" t="s">
        <v>25</v>
      </c>
      <c r="C570" s="3" t="s">
        <v>1641</v>
      </c>
      <c r="D570" s="3" t="e">
        <f t="shared" si="72"/>
        <v>#VALUE!</v>
      </c>
      <c r="E570" t="s">
        <v>1649</v>
      </c>
      <c r="F570" s="4">
        <f t="shared" si="73"/>
        <v>0.17152777777777778</v>
      </c>
      <c r="G570" t="s">
        <v>173</v>
      </c>
      <c r="H570" t="s">
        <v>30</v>
      </c>
      <c r="I570" t="str">
        <f t="shared" si="74"/>
        <v>Data Analyst</v>
      </c>
      <c r="J570" t="s">
        <v>43</v>
      </c>
      <c r="K570" t="s">
        <v>94</v>
      </c>
      <c r="L570">
        <f t="shared" si="75"/>
        <v>75.5</v>
      </c>
      <c r="M570" t="s">
        <v>108</v>
      </c>
      <c r="N570" t="str">
        <f t="shared" si="76"/>
        <v>Education</v>
      </c>
      <c r="O570" t="s">
        <v>34</v>
      </c>
      <c r="P570" t="str">
        <f t="shared" si="77"/>
        <v>Python</v>
      </c>
      <c r="Q570">
        <v>3</v>
      </c>
      <c r="R570">
        <v>3</v>
      </c>
      <c r="S570">
        <v>5</v>
      </c>
      <c r="T570">
        <v>3</v>
      </c>
      <c r="U570">
        <v>3</v>
      </c>
      <c r="V570">
        <v>4</v>
      </c>
      <c r="W570" t="s">
        <v>85</v>
      </c>
      <c r="X570" t="s">
        <v>56</v>
      </c>
      <c r="Y570" t="s">
        <v>65</v>
      </c>
      <c r="Z570">
        <v>38</v>
      </c>
      <c r="AA570" t="s">
        <v>57</v>
      </c>
      <c r="AB570" t="str">
        <f t="shared" si="78"/>
        <v>Other</v>
      </c>
      <c r="AC570" t="s">
        <v>240</v>
      </c>
      <c r="AD570" t="str">
        <f t="shared" si="79"/>
        <v>Masters</v>
      </c>
      <c r="AE570" t="s">
        <v>58</v>
      </c>
      <c r="AF570" t="str">
        <f t="shared" si="80"/>
        <v>Black or African American</v>
      </c>
    </row>
    <row r="571" spans="1:32" x14ac:dyDescent="0.45">
      <c r="A571" t="s">
        <v>1650</v>
      </c>
      <c r="B571" t="s">
        <v>25</v>
      </c>
      <c r="C571" s="3" t="s">
        <v>1641</v>
      </c>
      <c r="D571" s="3" t="e">
        <f t="shared" si="72"/>
        <v>#VALUE!</v>
      </c>
      <c r="E571" t="s">
        <v>1651</v>
      </c>
      <c r="F571" s="4">
        <f t="shared" si="73"/>
        <v>0.29097222222222224</v>
      </c>
      <c r="G571" t="s">
        <v>389</v>
      </c>
      <c r="H571" t="s">
        <v>30</v>
      </c>
      <c r="I571" t="str">
        <f t="shared" si="74"/>
        <v>Data Analyst</v>
      </c>
      <c r="J571" t="s">
        <v>43</v>
      </c>
      <c r="K571" t="s">
        <v>53</v>
      </c>
      <c r="L571">
        <f t="shared" si="75"/>
        <v>20</v>
      </c>
      <c r="M571" t="s">
        <v>45</v>
      </c>
      <c r="N571" t="str">
        <f t="shared" si="76"/>
        <v>Finance</v>
      </c>
      <c r="O571" t="s">
        <v>34</v>
      </c>
      <c r="P571" t="str">
        <f t="shared" si="77"/>
        <v>Python</v>
      </c>
      <c r="Q571">
        <v>2</v>
      </c>
      <c r="R571">
        <v>6</v>
      </c>
      <c r="S571">
        <v>5</v>
      </c>
      <c r="T571">
        <v>5</v>
      </c>
      <c r="U571">
        <v>6</v>
      </c>
      <c r="V571">
        <v>6</v>
      </c>
      <c r="W571" t="s">
        <v>55</v>
      </c>
      <c r="X571" t="s">
        <v>114</v>
      </c>
      <c r="Y571" t="s">
        <v>37</v>
      </c>
      <c r="Z571">
        <v>22</v>
      </c>
      <c r="AA571" t="s">
        <v>347</v>
      </c>
      <c r="AB571" t="str">
        <f t="shared" si="78"/>
        <v>Other</v>
      </c>
      <c r="AC571" t="s">
        <v>237</v>
      </c>
      <c r="AD571" t="str">
        <f t="shared" si="79"/>
        <v>Bachelors</v>
      </c>
      <c r="AE571" t="s">
        <v>39</v>
      </c>
      <c r="AF571" t="str">
        <f t="shared" si="80"/>
        <v>White or Caucasian</v>
      </c>
    </row>
    <row r="572" spans="1:32" x14ac:dyDescent="0.45">
      <c r="A572" t="s">
        <v>1652</v>
      </c>
      <c r="B572" t="s">
        <v>25</v>
      </c>
      <c r="C572" s="3" t="s">
        <v>1641</v>
      </c>
      <c r="D572" s="3" t="e">
        <f t="shared" si="72"/>
        <v>#VALUE!</v>
      </c>
      <c r="E572" t="s">
        <v>1653</v>
      </c>
      <c r="F572" s="4">
        <f t="shared" si="73"/>
        <v>0.32916666666666666</v>
      </c>
      <c r="G572" t="s">
        <v>317</v>
      </c>
      <c r="H572" t="s">
        <v>30</v>
      </c>
      <c r="I572" t="str">
        <f t="shared" si="74"/>
        <v>Data Analyst</v>
      </c>
      <c r="J572" t="s">
        <v>31</v>
      </c>
      <c r="K572" t="s">
        <v>87</v>
      </c>
      <c r="L572">
        <f t="shared" si="75"/>
        <v>95.5</v>
      </c>
      <c r="M572" t="s">
        <v>155</v>
      </c>
      <c r="N572" t="str">
        <f t="shared" si="76"/>
        <v>Other</v>
      </c>
      <c r="O572" t="s">
        <v>34</v>
      </c>
      <c r="P572" t="str">
        <f t="shared" si="77"/>
        <v>Python</v>
      </c>
      <c r="Q572">
        <v>7</v>
      </c>
      <c r="R572">
        <v>8</v>
      </c>
      <c r="S572">
        <v>9</v>
      </c>
      <c r="T572">
        <v>9</v>
      </c>
      <c r="U572">
        <v>9</v>
      </c>
      <c r="V572">
        <v>9</v>
      </c>
      <c r="W572" t="s">
        <v>69</v>
      </c>
      <c r="X572" t="s">
        <v>70</v>
      </c>
      <c r="Y572" t="s">
        <v>37</v>
      </c>
      <c r="Z572">
        <v>34</v>
      </c>
      <c r="AA572" t="s">
        <v>38</v>
      </c>
      <c r="AB572" t="str">
        <f t="shared" si="78"/>
        <v>United States</v>
      </c>
      <c r="AC572" t="s">
        <v>237</v>
      </c>
      <c r="AD572" t="str">
        <f t="shared" si="79"/>
        <v>Bachelors</v>
      </c>
      <c r="AE572" t="s">
        <v>91</v>
      </c>
      <c r="AF572" t="str">
        <f t="shared" si="80"/>
        <v>Hispanic or Latino</v>
      </c>
    </row>
    <row r="573" spans="1:32" x14ac:dyDescent="0.45">
      <c r="A573" t="s">
        <v>1654</v>
      </c>
      <c r="B573" t="s">
        <v>25</v>
      </c>
      <c r="C573" s="3" t="s">
        <v>1641</v>
      </c>
      <c r="D573" s="3" t="e">
        <f t="shared" si="72"/>
        <v>#VALUE!</v>
      </c>
      <c r="E573" t="s">
        <v>1655</v>
      </c>
      <c r="F573" s="4">
        <f t="shared" si="73"/>
        <v>0.40486111111111112</v>
      </c>
      <c r="G573" t="s">
        <v>150</v>
      </c>
      <c r="H573" t="s">
        <v>30</v>
      </c>
      <c r="I573" t="str">
        <f t="shared" si="74"/>
        <v>Data Analyst</v>
      </c>
      <c r="J573" t="s">
        <v>43</v>
      </c>
      <c r="K573" t="s">
        <v>53</v>
      </c>
      <c r="L573">
        <f t="shared" si="75"/>
        <v>20</v>
      </c>
      <c r="M573" t="s">
        <v>103</v>
      </c>
      <c r="N573" t="str">
        <f t="shared" si="76"/>
        <v>Tech</v>
      </c>
      <c r="O573" t="s">
        <v>34</v>
      </c>
      <c r="P573" t="str">
        <f t="shared" si="77"/>
        <v>Python</v>
      </c>
      <c r="Q573">
        <v>3</v>
      </c>
      <c r="R573">
        <v>8</v>
      </c>
      <c r="S573">
        <v>8</v>
      </c>
      <c r="T573">
        <v>5</v>
      </c>
      <c r="U573">
        <v>7</v>
      </c>
      <c r="V573">
        <v>9</v>
      </c>
      <c r="W573" t="s">
        <v>55</v>
      </c>
      <c r="X573" t="s">
        <v>70</v>
      </c>
      <c r="Y573" t="s">
        <v>37</v>
      </c>
      <c r="Z573">
        <v>26</v>
      </c>
      <c r="AA573" t="s">
        <v>1488</v>
      </c>
      <c r="AB573" t="str">
        <f t="shared" si="78"/>
        <v>Other</v>
      </c>
      <c r="AC573" t="s">
        <v>237</v>
      </c>
      <c r="AD573" t="str">
        <f t="shared" si="79"/>
        <v>Bachelors</v>
      </c>
      <c r="AE573" t="s">
        <v>48</v>
      </c>
      <c r="AF573" t="str">
        <f t="shared" si="80"/>
        <v>Asian or Asian American</v>
      </c>
    </row>
    <row r="574" spans="1:32" x14ac:dyDescent="0.45">
      <c r="A574" t="s">
        <v>1656</v>
      </c>
      <c r="B574" t="s">
        <v>25</v>
      </c>
      <c r="C574" s="3" t="s">
        <v>1641</v>
      </c>
      <c r="D574" s="3" t="e">
        <f t="shared" si="72"/>
        <v>#VALUE!</v>
      </c>
      <c r="E574" t="s">
        <v>563</v>
      </c>
      <c r="F574" s="4">
        <f t="shared" si="73"/>
        <v>0.4465277777777778</v>
      </c>
      <c r="G574" t="s">
        <v>119</v>
      </c>
      <c r="H574" t="s">
        <v>30</v>
      </c>
      <c r="I574" t="str">
        <f t="shared" si="74"/>
        <v>Data Analyst</v>
      </c>
      <c r="J574" t="s">
        <v>31</v>
      </c>
      <c r="K574" t="s">
        <v>94</v>
      </c>
      <c r="L574">
        <f t="shared" si="75"/>
        <v>75.5</v>
      </c>
      <c r="M574" t="s">
        <v>103</v>
      </c>
      <c r="N574" t="str">
        <f t="shared" si="76"/>
        <v>Tech</v>
      </c>
      <c r="O574" t="s">
        <v>34</v>
      </c>
      <c r="P574" t="str">
        <f t="shared" si="77"/>
        <v>Python</v>
      </c>
      <c r="Q574">
        <v>5</v>
      </c>
      <c r="R574">
        <v>9</v>
      </c>
      <c r="S574">
        <v>7</v>
      </c>
      <c r="T574">
        <v>7</v>
      </c>
      <c r="U574">
        <v>8</v>
      </c>
      <c r="V574">
        <v>9</v>
      </c>
      <c r="W574" t="s">
        <v>85</v>
      </c>
      <c r="X574" t="s">
        <v>70</v>
      </c>
      <c r="Y574" t="s">
        <v>65</v>
      </c>
      <c r="Z574">
        <v>26</v>
      </c>
      <c r="AA574" t="s">
        <v>47</v>
      </c>
      <c r="AB574" t="str">
        <f t="shared" si="78"/>
        <v>Canada</v>
      </c>
      <c r="AC574" t="s">
        <v>237</v>
      </c>
      <c r="AD574" t="str">
        <f t="shared" si="79"/>
        <v>Bachelors</v>
      </c>
      <c r="AE574" t="s">
        <v>48</v>
      </c>
      <c r="AF574" t="str">
        <f t="shared" si="80"/>
        <v>Asian or Asian American</v>
      </c>
    </row>
    <row r="575" spans="1:32" x14ac:dyDescent="0.45">
      <c r="A575" t="s">
        <v>1657</v>
      </c>
      <c r="B575" t="s">
        <v>25</v>
      </c>
      <c r="C575" s="3" t="s">
        <v>1641</v>
      </c>
      <c r="D575" s="3" t="e">
        <f t="shared" si="72"/>
        <v>#VALUE!</v>
      </c>
      <c r="E575" t="s">
        <v>614</v>
      </c>
      <c r="F575" s="4">
        <f t="shared" si="73"/>
        <v>0.47222222222222221</v>
      </c>
      <c r="G575" t="s">
        <v>131</v>
      </c>
      <c r="H575" t="s">
        <v>52</v>
      </c>
      <c r="I575" t="str">
        <f t="shared" si="74"/>
        <v>Data Engineer</v>
      </c>
      <c r="J575" t="s">
        <v>43</v>
      </c>
      <c r="K575" t="s">
        <v>94</v>
      </c>
      <c r="L575">
        <f t="shared" si="75"/>
        <v>75.5</v>
      </c>
      <c r="M575" t="s">
        <v>108</v>
      </c>
      <c r="N575" t="str">
        <f t="shared" si="76"/>
        <v>Education</v>
      </c>
      <c r="O575" t="s">
        <v>34</v>
      </c>
      <c r="P575" t="str">
        <f t="shared" si="77"/>
        <v>Python</v>
      </c>
      <c r="Q575">
        <v>10</v>
      </c>
      <c r="R575">
        <v>10</v>
      </c>
      <c r="S575">
        <v>10</v>
      </c>
      <c r="T575">
        <v>9</v>
      </c>
      <c r="U575">
        <v>9</v>
      </c>
      <c r="V575">
        <v>10</v>
      </c>
      <c r="W575" t="s">
        <v>69</v>
      </c>
      <c r="X575" t="s">
        <v>36</v>
      </c>
      <c r="Y575" t="s">
        <v>37</v>
      </c>
      <c r="Z575">
        <v>25</v>
      </c>
      <c r="AA575" t="s">
        <v>183</v>
      </c>
      <c r="AB575" t="str">
        <f t="shared" si="78"/>
        <v>Other</v>
      </c>
      <c r="AC575" t="s">
        <v>237</v>
      </c>
      <c r="AD575" t="str">
        <f t="shared" si="79"/>
        <v>Bachelors</v>
      </c>
      <c r="AE575" t="s">
        <v>1658</v>
      </c>
      <c r="AF575" t="str">
        <f t="shared" si="80"/>
        <v>Other</v>
      </c>
    </row>
    <row r="576" spans="1:32" x14ac:dyDescent="0.45">
      <c r="A576" t="s">
        <v>1659</v>
      </c>
      <c r="B576" t="s">
        <v>25</v>
      </c>
      <c r="C576" s="3" t="s">
        <v>1641</v>
      </c>
      <c r="D576" s="3" t="e">
        <f t="shared" si="72"/>
        <v>#VALUE!</v>
      </c>
      <c r="E576" t="s">
        <v>738</v>
      </c>
      <c r="F576" s="4">
        <f t="shared" si="73"/>
        <v>0.54722222222222228</v>
      </c>
      <c r="G576" t="s">
        <v>1130</v>
      </c>
      <c r="H576" t="s">
        <v>77</v>
      </c>
      <c r="I576" t="str">
        <f t="shared" si="74"/>
        <v>Data Scientist</v>
      </c>
      <c r="J576" t="s">
        <v>31</v>
      </c>
      <c r="K576" t="s">
        <v>82</v>
      </c>
      <c r="L576">
        <f t="shared" si="75"/>
        <v>137.5</v>
      </c>
      <c r="M576" t="s">
        <v>103</v>
      </c>
      <c r="N576" t="str">
        <f t="shared" si="76"/>
        <v>Tech</v>
      </c>
      <c r="O576" t="s">
        <v>34</v>
      </c>
      <c r="P576" t="str">
        <f t="shared" si="77"/>
        <v>Python</v>
      </c>
      <c r="Q576">
        <v>5</v>
      </c>
      <c r="R576">
        <v>3</v>
      </c>
      <c r="S576">
        <v>7</v>
      </c>
      <c r="T576">
        <v>4</v>
      </c>
      <c r="U576">
        <v>5</v>
      </c>
      <c r="V576">
        <v>3</v>
      </c>
      <c r="W576" t="s">
        <v>55</v>
      </c>
      <c r="X576" t="s">
        <v>1660</v>
      </c>
      <c r="Y576" t="s">
        <v>37</v>
      </c>
      <c r="Z576">
        <v>34</v>
      </c>
      <c r="AA576" t="s">
        <v>38</v>
      </c>
      <c r="AB576" t="str">
        <f t="shared" si="78"/>
        <v>United States</v>
      </c>
      <c r="AC576" t="s">
        <v>237</v>
      </c>
      <c r="AD576" t="str">
        <f t="shared" si="79"/>
        <v>Bachelors</v>
      </c>
      <c r="AE576" t="s">
        <v>58</v>
      </c>
      <c r="AF576" t="str">
        <f t="shared" si="80"/>
        <v>Black or African American</v>
      </c>
    </row>
    <row r="577" spans="1:32" x14ac:dyDescent="0.45">
      <c r="A577" t="s">
        <v>1661</v>
      </c>
      <c r="B577" t="s">
        <v>25</v>
      </c>
      <c r="C577" s="3" t="s">
        <v>1641</v>
      </c>
      <c r="D577" s="3" t="e">
        <f t="shared" si="72"/>
        <v>#VALUE!</v>
      </c>
      <c r="E577" t="s">
        <v>1281</v>
      </c>
      <c r="F577" s="4">
        <f t="shared" si="73"/>
        <v>0.5625</v>
      </c>
      <c r="G577" t="s">
        <v>1662</v>
      </c>
      <c r="H577" t="s">
        <v>1663</v>
      </c>
      <c r="I577" t="str">
        <f t="shared" si="74"/>
        <v>Other</v>
      </c>
      <c r="J577" t="s">
        <v>31</v>
      </c>
      <c r="K577" t="s">
        <v>44</v>
      </c>
      <c r="L577">
        <f t="shared" si="75"/>
        <v>53</v>
      </c>
      <c r="M577" t="s">
        <v>45</v>
      </c>
      <c r="N577" t="str">
        <f t="shared" si="76"/>
        <v>Finance</v>
      </c>
      <c r="O577" t="s">
        <v>533</v>
      </c>
      <c r="P577" t="str">
        <f t="shared" si="77"/>
        <v>Other</v>
      </c>
      <c r="Q577">
        <v>7</v>
      </c>
      <c r="R577">
        <v>10</v>
      </c>
      <c r="S577">
        <v>10</v>
      </c>
      <c r="T577">
        <v>10</v>
      </c>
      <c r="U577">
        <v>4</v>
      </c>
      <c r="V577">
        <v>5</v>
      </c>
      <c r="W577" t="s">
        <v>85</v>
      </c>
      <c r="X577" t="s">
        <v>56</v>
      </c>
      <c r="Y577" t="s">
        <v>65</v>
      </c>
      <c r="Z577">
        <v>32</v>
      </c>
      <c r="AA577" t="s">
        <v>500</v>
      </c>
      <c r="AB577" t="str">
        <f t="shared" si="78"/>
        <v>Other</v>
      </c>
      <c r="AC577" t="s">
        <v>237</v>
      </c>
      <c r="AD577" t="str">
        <f t="shared" si="79"/>
        <v>Bachelors</v>
      </c>
      <c r="AE577" t="s">
        <v>91</v>
      </c>
      <c r="AF577" t="str">
        <f t="shared" si="80"/>
        <v>Hispanic or Latino</v>
      </c>
    </row>
    <row r="578" spans="1:32" x14ac:dyDescent="0.45">
      <c r="A578" t="s">
        <v>1664</v>
      </c>
      <c r="B578" t="s">
        <v>25</v>
      </c>
      <c r="C578" s="3" t="s">
        <v>1641</v>
      </c>
      <c r="D578" s="3" t="e">
        <f t="shared" si="72"/>
        <v>#VALUE!</v>
      </c>
      <c r="E578" t="s">
        <v>824</v>
      </c>
      <c r="F578" s="4">
        <f t="shared" si="73"/>
        <v>0.59444444444444444</v>
      </c>
      <c r="G578" t="s">
        <v>76</v>
      </c>
      <c r="H578" t="s">
        <v>123</v>
      </c>
      <c r="I578" t="str">
        <f t="shared" si="74"/>
        <v>None</v>
      </c>
      <c r="J578" t="s">
        <v>43</v>
      </c>
      <c r="K578" t="s">
        <v>53</v>
      </c>
      <c r="L578">
        <f t="shared" si="75"/>
        <v>20</v>
      </c>
      <c r="M578" t="s">
        <v>113</v>
      </c>
      <c r="N578" t="str">
        <f t="shared" si="76"/>
        <v>Construction</v>
      </c>
      <c r="O578" t="s">
        <v>46</v>
      </c>
      <c r="P578" t="str">
        <f t="shared" si="77"/>
        <v>R</v>
      </c>
      <c r="Q578">
        <v>2</v>
      </c>
      <c r="R578">
        <v>2</v>
      </c>
      <c r="S578">
        <v>2</v>
      </c>
      <c r="T578">
        <v>2</v>
      </c>
      <c r="U578">
        <v>2</v>
      </c>
      <c r="V578">
        <v>2</v>
      </c>
      <c r="W578" t="s">
        <v>69</v>
      </c>
      <c r="X578" t="s">
        <v>70</v>
      </c>
      <c r="Y578" t="s">
        <v>37</v>
      </c>
      <c r="Z578">
        <v>24</v>
      </c>
      <c r="AA578" t="s">
        <v>38</v>
      </c>
      <c r="AB578" t="str">
        <f t="shared" si="78"/>
        <v>United States</v>
      </c>
      <c r="AC578" t="s">
        <v>262</v>
      </c>
      <c r="AD578" t="str">
        <f t="shared" si="79"/>
        <v>Associates</v>
      </c>
      <c r="AE578" t="s">
        <v>58</v>
      </c>
      <c r="AF578" t="str">
        <f t="shared" si="80"/>
        <v>Black or African American</v>
      </c>
    </row>
    <row r="579" spans="1:32" x14ac:dyDescent="0.45">
      <c r="A579" t="s">
        <v>1665</v>
      </c>
      <c r="B579" t="s">
        <v>25</v>
      </c>
      <c r="C579" s="3" t="s">
        <v>1641</v>
      </c>
      <c r="D579" s="3" t="e">
        <f t="shared" ref="D579:D631" si="81">DATEVALUE(C579)</f>
        <v>#VALUE!</v>
      </c>
      <c r="E579" t="s">
        <v>853</v>
      </c>
      <c r="F579" s="4">
        <f t="shared" ref="F579:F631" si="82">TIMEVALUE(E579)</f>
        <v>0.6166666666666667</v>
      </c>
      <c r="G579" t="s">
        <v>1666</v>
      </c>
      <c r="H579" t="s">
        <v>52</v>
      </c>
      <c r="I579" t="str">
        <f t="shared" ref="I579:I631" si="83">IF(LEFT(H579,5)="Other","Other",IF(ISNUMBER(SEARCH("None",H579)),"None",H579))</f>
        <v>Data Engineer</v>
      </c>
      <c r="J579" t="s">
        <v>31</v>
      </c>
      <c r="K579" t="s">
        <v>53</v>
      </c>
      <c r="L579">
        <f t="shared" ref="L579:L631" si="84">(VALUE(SUBSTITUTE(LEFT(K579,FIND("-",K579)-1),"k","")) + VALUE(SUBSTITUTE(MID(K579,FIND("-",K579)+1,LEN(K579)),"k","")))/2</f>
        <v>20</v>
      </c>
      <c r="M579" t="s">
        <v>103</v>
      </c>
      <c r="N579" t="str">
        <f t="shared" ref="N579:N631" si="85">IF(LEFT(M579,5)="Other","Other",IF(ISNUMBER(SEARCH("None",M579)),"None",M579))</f>
        <v>Tech</v>
      </c>
      <c r="O579" t="s">
        <v>34</v>
      </c>
      <c r="P579" t="str">
        <f t="shared" ref="P579:P631" si="86">IF(LEFT(O579,5)="Other","Other",IF(ISNUMBER(SEARCH("None",O579)),"None",O579))</f>
        <v>Python</v>
      </c>
      <c r="Q579">
        <v>7</v>
      </c>
      <c r="R579">
        <v>3</v>
      </c>
      <c r="S579">
        <v>3</v>
      </c>
      <c r="T579">
        <v>2</v>
      </c>
      <c r="U579">
        <v>5</v>
      </c>
      <c r="V579">
        <v>9</v>
      </c>
      <c r="W579" t="s">
        <v>69</v>
      </c>
      <c r="X579" t="s">
        <v>70</v>
      </c>
      <c r="Y579" t="s">
        <v>37</v>
      </c>
      <c r="Z579">
        <v>26</v>
      </c>
      <c r="AA579" t="s">
        <v>1667</v>
      </c>
      <c r="AB579" t="str">
        <f t="shared" ref="AB579:AB631" si="87">IF(LEFT(AA579,5)="Other","Other",IF(ISNUMBER(SEARCH("None",AA579)),"None",AA579))</f>
        <v>Other</v>
      </c>
      <c r="AC579" t="s">
        <v>237</v>
      </c>
      <c r="AD579" t="str">
        <f t="shared" ref="AD579:AD631" si="88">IF(AC579="","none",AC579)</f>
        <v>Bachelors</v>
      </c>
      <c r="AE579" t="s">
        <v>91</v>
      </c>
      <c r="AF579" t="str">
        <f t="shared" ref="AF579:AF631" si="89">IF(LEFT(AE579,5)="Other","Other",IF(ISNUMBER(SEARCH("None",AE579)),"None",AE579))</f>
        <v>Hispanic or Latino</v>
      </c>
    </row>
    <row r="580" spans="1:32" x14ac:dyDescent="0.45">
      <c r="A580" t="s">
        <v>1668</v>
      </c>
      <c r="B580" t="s">
        <v>25</v>
      </c>
      <c r="C580" s="3" t="s">
        <v>1641</v>
      </c>
      <c r="D580" s="3" t="e">
        <f t="shared" si="81"/>
        <v>#VALUE!</v>
      </c>
      <c r="E580" t="s">
        <v>1669</v>
      </c>
      <c r="F580" s="4">
        <f t="shared" si="82"/>
        <v>0.63402777777777775</v>
      </c>
      <c r="G580" t="s">
        <v>425</v>
      </c>
      <c r="H580" t="s">
        <v>30</v>
      </c>
      <c r="I580" t="str">
        <f t="shared" si="83"/>
        <v>Data Analyst</v>
      </c>
      <c r="J580" t="s">
        <v>31</v>
      </c>
      <c r="K580" t="s">
        <v>44</v>
      </c>
      <c r="L580">
        <f t="shared" si="84"/>
        <v>53</v>
      </c>
      <c r="M580" t="s">
        <v>90</v>
      </c>
      <c r="N580" t="str">
        <f t="shared" si="85"/>
        <v>Telecommunication</v>
      </c>
      <c r="O580" t="s">
        <v>318</v>
      </c>
      <c r="P580" t="str">
        <f t="shared" si="86"/>
        <v>Other</v>
      </c>
      <c r="Q580">
        <v>4</v>
      </c>
      <c r="R580">
        <v>7</v>
      </c>
      <c r="S580">
        <v>5</v>
      </c>
      <c r="T580">
        <v>6</v>
      </c>
      <c r="U580">
        <v>4</v>
      </c>
      <c r="V580">
        <v>6</v>
      </c>
      <c r="W580" t="s">
        <v>69</v>
      </c>
      <c r="X580" t="s">
        <v>70</v>
      </c>
      <c r="Y580" t="s">
        <v>65</v>
      </c>
      <c r="Z580">
        <v>32</v>
      </c>
      <c r="AA580" t="s">
        <v>1670</v>
      </c>
      <c r="AB580" t="str">
        <f t="shared" si="87"/>
        <v>Other</v>
      </c>
      <c r="AC580" t="s">
        <v>240</v>
      </c>
      <c r="AD580" t="str">
        <f t="shared" si="88"/>
        <v>Masters</v>
      </c>
      <c r="AE580" t="s">
        <v>58</v>
      </c>
      <c r="AF580" t="str">
        <f t="shared" si="89"/>
        <v>Black or African American</v>
      </c>
    </row>
    <row r="581" spans="1:32" x14ac:dyDescent="0.45">
      <c r="A581" t="s">
        <v>1671</v>
      </c>
      <c r="B581" t="s">
        <v>25</v>
      </c>
      <c r="C581" s="3" t="s">
        <v>1641</v>
      </c>
      <c r="D581" s="3" t="e">
        <f t="shared" si="81"/>
        <v>#VALUE!</v>
      </c>
      <c r="E581" t="s">
        <v>1672</v>
      </c>
      <c r="F581" s="4">
        <f t="shared" si="82"/>
        <v>0.64861111111111114</v>
      </c>
      <c r="G581" t="s">
        <v>470</v>
      </c>
      <c r="H581" t="s">
        <v>77</v>
      </c>
      <c r="I581" t="str">
        <f t="shared" si="83"/>
        <v>Data Scientist</v>
      </c>
      <c r="J581" t="s">
        <v>43</v>
      </c>
      <c r="K581" t="s">
        <v>44</v>
      </c>
      <c r="L581">
        <f t="shared" si="84"/>
        <v>53</v>
      </c>
      <c r="M581" t="s">
        <v>103</v>
      </c>
      <c r="N581" t="str">
        <f t="shared" si="85"/>
        <v>Tech</v>
      </c>
      <c r="O581" t="s">
        <v>46</v>
      </c>
      <c r="P581" t="str">
        <f t="shared" si="86"/>
        <v>R</v>
      </c>
      <c r="Q581">
        <v>5</v>
      </c>
      <c r="R581">
        <v>1</v>
      </c>
      <c r="S581">
        <v>7</v>
      </c>
      <c r="T581">
        <v>1</v>
      </c>
      <c r="U581">
        <v>1</v>
      </c>
      <c r="V581">
        <v>2</v>
      </c>
      <c r="W581" t="s">
        <v>85</v>
      </c>
      <c r="X581" t="s">
        <v>56</v>
      </c>
      <c r="Y581" t="s">
        <v>37</v>
      </c>
      <c r="Z581">
        <v>40</v>
      </c>
      <c r="AA581" t="s">
        <v>423</v>
      </c>
      <c r="AB581" t="str">
        <f t="shared" si="87"/>
        <v>Other</v>
      </c>
      <c r="AC581" t="s">
        <v>240</v>
      </c>
      <c r="AD581" t="str">
        <f t="shared" si="88"/>
        <v>Masters</v>
      </c>
      <c r="AE581" t="s">
        <v>39</v>
      </c>
      <c r="AF581" t="str">
        <f t="shared" si="89"/>
        <v>White or Caucasian</v>
      </c>
    </row>
    <row r="582" spans="1:32" x14ac:dyDescent="0.45">
      <c r="A582" t="s">
        <v>1673</v>
      </c>
      <c r="B582" t="s">
        <v>25</v>
      </c>
      <c r="C582" s="3" t="s">
        <v>1641</v>
      </c>
      <c r="D582" s="3" t="e">
        <f t="shared" si="81"/>
        <v>#VALUE!</v>
      </c>
      <c r="E582" t="s">
        <v>1674</v>
      </c>
      <c r="F582" s="4">
        <f t="shared" si="82"/>
        <v>0.65069444444444446</v>
      </c>
      <c r="G582" t="s">
        <v>881</v>
      </c>
      <c r="H582" t="s">
        <v>30</v>
      </c>
      <c r="I582" t="str">
        <f t="shared" si="83"/>
        <v>Data Analyst</v>
      </c>
      <c r="J582" t="s">
        <v>43</v>
      </c>
      <c r="K582" t="s">
        <v>53</v>
      </c>
      <c r="L582">
        <f t="shared" si="84"/>
        <v>20</v>
      </c>
      <c r="M582" t="s">
        <v>1675</v>
      </c>
      <c r="N582" t="str">
        <f t="shared" si="85"/>
        <v>Other</v>
      </c>
      <c r="O582" t="s">
        <v>34</v>
      </c>
      <c r="P582" t="str">
        <f t="shared" si="86"/>
        <v>Python</v>
      </c>
      <c r="Q582">
        <v>0</v>
      </c>
      <c r="R582">
        <v>7</v>
      </c>
      <c r="S582">
        <v>1</v>
      </c>
      <c r="T582">
        <v>6</v>
      </c>
      <c r="U582">
        <v>0</v>
      </c>
      <c r="V582">
        <v>0</v>
      </c>
      <c r="W582" t="s">
        <v>55</v>
      </c>
      <c r="X582" t="s">
        <v>70</v>
      </c>
      <c r="Y582" t="s">
        <v>37</v>
      </c>
      <c r="Z582">
        <v>27</v>
      </c>
      <c r="AA582" t="s">
        <v>38</v>
      </c>
      <c r="AB582" t="str">
        <f t="shared" si="87"/>
        <v>United States</v>
      </c>
      <c r="AC582" t="s">
        <v>237</v>
      </c>
      <c r="AD582" t="str">
        <f t="shared" si="88"/>
        <v>Bachelors</v>
      </c>
      <c r="AE582" t="s">
        <v>58</v>
      </c>
      <c r="AF582" t="str">
        <f t="shared" si="89"/>
        <v>Black or African American</v>
      </c>
    </row>
    <row r="583" spans="1:32" x14ac:dyDescent="0.45">
      <c r="A583" t="s">
        <v>1676</v>
      </c>
      <c r="B583" t="s">
        <v>25</v>
      </c>
      <c r="C583" s="3" t="s">
        <v>1641</v>
      </c>
      <c r="D583" s="3" t="e">
        <f t="shared" si="81"/>
        <v>#VALUE!</v>
      </c>
      <c r="E583" t="s">
        <v>901</v>
      </c>
      <c r="F583" s="4">
        <f t="shared" si="82"/>
        <v>0.65208333333333335</v>
      </c>
      <c r="G583" t="s">
        <v>283</v>
      </c>
      <c r="H583" t="s">
        <v>30</v>
      </c>
      <c r="I583" t="str">
        <f t="shared" si="83"/>
        <v>Data Analyst</v>
      </c>
      <c r="J583" t="s">
        <v>31</v>
      </c>
      <c r="K583" t="s">
        <v>94</v>
      </c>
      <c r="L583">
        <f t="shared" si="84"/>
        <v>75.5</v>
      </c>
      <c r="M583" t="s">
        <v>103</v>
      </c>
      <c r="N583" t="str">
        <f t="shared" si="85"/>
        <v>Tech</v>
      </c>
      <c r="O583" t="s">
        <v>46</v>
      </c>
      <c r="P583" t="str">
        <f t="shared" si="86"/>
        <v>R</v>
      </c>
      <c r="Q583">
        <v>4</v>
      </c>
      <c r="R583">
        <v>3</v>
      </c>
      <c r="S583">
        <v>6</v>
      </c>
      <c r="T583">
        <v>7</v>
      </c>
      <c r="U583">
        <v>4</v>
      </c>
      <c r="V583">
        <v>7</v>
      </c>
      <c r="W583" t="s">
        <v>55</v>
      </c>
      <c r="X583" t="s">
        <v>70</v>
      </c>
      <c r="Y583" t="s">
        <v>37</v>
      </c>
      <c r="Z583">
        <v>28</v>
      </c>
      <c r="AA583" t="s">
        <v>38</v>
      </c>
      <c r="AB583" t="str">
        <f t="shared" si="87"/>
        <v>United States</v>
      </c>
      <c r="AC583" t="s">
        <v>240</v>
      </c>
      <c r="AD583" t="str">
        <f t="shared" si="88"/>
        <v>Masters</v>
      </c>
      <c r="AE583" t="s">
        <v>58</v>
      </c>
      <c r="AF583" t="str">
        <f t="shared" si="89"/>
        <v>Black or African American</v>
      </c>
    </row>
    <row r="584" spans="1:32" x14ac:dyDescent="0.45">
      <c r="A584" t="s">
        <v>1677</v>
      </c>
      <c r="B584" t="s">
        <v>25</v>
      </c>
      <c r="C584" s="3" t="s">
        <v>1641</v>
      </c>
      <c r="D584" s="3" t="e">
        <f t="shared" si="81"/>
        <v>#VALUE!</v>
      </c>
      <c r="E584" t="s">
        <v>1678</v>
      </c>
      <c r="F584" s="4">
        <f t="shared" si="82"/>
        <v>0.67847222222222225</v>
      </c>
      <c r="G584" t="s">
        <v>1679</v>
      </c>
      <c r="H584" t="s">
        <v>30</v>
      </c>
      <c r="I584" t="str">
        <f t="shared" si="83"/>
        <v>Data Analyst</v>
      </c>
      <c r="J584" t="s">
        <v>31</v>
      </c>
      <c r="K584" t="s">
        <v>53</v>
      </c>
      <c r="L584">
        <f t="shared" si="84"/>
        <v>20</v>
      </c>
      <c r="M584" t="s">
        <v>1680</v>
      </c>
      <c r="N584" t="str">
        <f t="shared" si="85"/>
        <v>Other</v>
      </c>
      <c r="O584" t="s">
        <v>34</v>
      </c>
      <c r="P584" t="str">
        <f t="shared" si="86"/>
        <v>Python</v>
      </c>
      <c r="Q584">
        <v>1</v>
      </c>
      <c r="R584">
        <v>9</v>
      </c>
      <c r="S584">
        <v>5</v>
      </c>
      <c r="T584">
        <v>5</v>
      </c>
      <c r="U584">
        <v>1</v>
      </c>
      <c r="V584">
        <v>1</v>
      </c>
      <c r="W584" t="s">
        <v>69</v>
      </c>
      <c r="X584" t="s">
        <v>70</v>
      </c>
      <c r="Y584" t="s">
        <v>37</v>
      </c>
      <c r="Z584">
        <v>30</v>
      </c>
      <c r="AA584" t="s">
        <v>57</v>
      </c>
      <c r="AB584" t="str">
        <f t="shared" si="87"/>
        <v>Other</v>
      </c>
      <c r="AC584" t="s">
        <v>237</v>
      </c>
      <c r="AD584" t="str">
        <f t="shared" si="88"/>
        <v>Bachelors</v>
      </c>
      <c r="AE584" t="s">
        <v>57</v>
      </c>
      <c r="AF584" t="str">
        <f t="shared" si="89"/>
        <v>Other</v>
      </c>
    </row>
    <row r="585" spans="1:32" x14ac:dyDescent="0.45">
      <c r="A585" t="s">
        <v>1681</v>
      </c>
      <c r="B585" t="s">
        <v>25</v>
      </c>
      <c r="C585" s="3" t="s">
        <v>1641</v>
      </c>
      <c r="D585" s="3" t="e">
        <f t="shared" si="81"/>
        <v>#VALUE!</v>
      </c>
      <c r="E585" t="s">
        <v>1682</v>
      </c>
      <c r="F585" s="4">
        <f t="shared" si="82"/>
        <v>0.7055555555555556</v>
      </c>
      <c r="G585" t="s">
        <v>392</v>
      </c>
      <c r="H585" t="s">
        <v>30</v>
      </c>
      <c r="I585" t="str">
        <f t="shared" si="83"/>
        <v>Data Analyst</v>
      </c>
      <c r="J585" t="s">
        <v>31</v>
      </c>
      <c r="K585" t="s">
        <v>53</v>
      </c>
      <c r="L585">
        <f t="shared" si="84"/>
        <v>20</v>
      </c>
      <c r="M585" t="s">
        <v>1683</v>
      </c>
      <c r="N585" t="str">
        <f t="shared" si="85"/>
        <v>Other</v>
      </c>
      <c r="O585" t="s">
        <v>34</v>
      </c>
      <c r="P585" t="str">
        <f t="shared" si="86"/>
        <v>Python</v>
      </c>
      <c r="Q585">
        <v>0</v>
      </c>
      <c r="R585">
        <v>6</v>
      </c>
      <c r="S585">
        <v>5</v>
      </c>
      <c r="T585">
        <v>5</v>
      </c>
      <c r="U585">
        <v>5</v>
      </c>
      <c r="V585">
        <v>6</v>
      </c>
      <c r="W585" t="s">
        <v>69</v>
      </c>
      <c r="X585" t="s">
        <v>36</v>
      </c>
      <c r="Y585" t="s">
        <v>37</v>
      </c>
      <c r="Z585">
        <v>37</v>
      </c>
      <c r="AA585" t="s">
        <v>38</v>
      </c>
      <c r="AB585" t="str">
        <f t="shared" si="87"/>
        <v>United States</v>
      </c>
      <c r="AC585" t="s">
        <v>237</v>
      </c>
      <c r="AD585" t="str">
        <f t="shared" si="88"/>
        <v>Bachelors</v>
      </c>
      <c r="AE585" t="s">
        <v>39</v>
      </c>
      <c r="AF585" t="str">
        <f t="shared" si="89"/>
        <v>White or Caucasian</v>
      </c>
    </row>
    <row r="586" spans="1:32" x14ac:dyDescent="0.45">
      <c r="A586" t="s">
        <v>1684</v>
      </c>
      <c r="B586" t="s">
        <v>25</v>
      </c>
      <c r="C586" s="3" t="s">
        <v>1641</v>
      </c>
      <c r="D586" s="3" t="e">
        <f t="shared" si="81"/>
        <v>#VALUE!</v>
      </c>
      <c r="E586" t="s">
        <v>1685</v>
      </c>
      <c r="F586" s="4">
        <f t="shared" si="82"/>
        <v>0.75277777777777777</v>
      </c>
      <c r="G586" t="s">
        <v>1686</v>
      </c>
      <c r="H586" t="s">
        <v>1687</v>
      </c>
      <c r="I586" t="str">
        <f t="shared" si="83"/>
        <v>Other</v>
      </c>
      <c r="J586" t="s">
        <v>43</v>
      </c>
      <c r="K586" t="s">
        <v>44</v>
      </c>
      <c r="L586">
        <f t="shared" si="84"/>
        <v>53</v>
      </c>
      <c r="M586" t="s">
        <v>103</v>
      </c>
      <c r="N586" t="str">
        <f t="shared" si="85"/>
        <v>Tech</v>
      </c>
      <c r="O586" t="s">
        <v>204</v>
      </c>
      <c r="P586" t="str">
        <f t="shared" si="86"/>
        <v>JavaScript</v>
      </c>
      <c r="Q586">
        <v>7</v>
      </c>
      <c r="R586">
        <v>7</v>
      </c>
      <c r="S586">
        <v>5</v>
      </c>
      <c r="T586">
        <v>5</v>
      </c>
      <c r="U586">
        <v>0</v>
      </c>
      <c r="V586">
        <v>0</v>
      </c>
      <c r="W586" t="s">
        <v>69</v>
      </c>
      <c r="X586" t="s">
        <v>114</v>
      </c>
      <c r="Y586" t="s">
        <v>37</v>
      </c>
      <c r="Z586">
        <v>32</v>
      </c>
      <c r="AA586" t="s">
        <v>199</v>
      </c>
      <c r="AB586" t="str">
        <f t="shared" si="87"/>
        <v>Other</v>
      </c>
      <c r="AC586" t="s">
        <v>237</v>
      </c>
      <c r="AD586" t="str">
        <f t="shared" si="88"/>
        <v>Bachelors</v>
      </c>
      <c r="AE586" t="s">
        <v>48</v>
      </c>
      <c r="AF586" t="str">
        <f t="shared" si="89"/>
        <v>Asian or Asian American</v>
      </c>
    </row>
    <row r="587" spans="1:32" x14ac:dyDescent="0.45">
      <c r="A587" t="s">
        <v>1688</v>
      </c>
      <c r="B587" t="s">
        <v>25</v>
      </c>
      <c r="C587" s="3" t="s">
        <v>1641</v>
      </c>
      <c r="D587" s="3" t="e">
        <f t="shared" si="81"/>
        <v>#VALUE!</v>
      </c>
      <c r="E587" t="s">
        <v>1689</v>
      </c>
      <c r="F587" s="4">
        <f t="shared" si="82"/>
        <v>0.76666666666666672</v>
      </c>
      <c r="G587" t="s">
        <v>1104</v>
      </c>
      <c r="H587" t="s">
        <v>30</v>
      </c>
      <c r="I587" t="str">
        <f t="shared" si="83"/>
        <v>Data Analyst</v>
      </c>
      <c r="J587" t="s">
        <v>31</v>
      </c>
      <c r="K587" t="s">
        <v>44</v>
      </c>
      <c r="L587">
        <f t="shared" si="84"/>
        <v>53</v>
      </c>
      <c r="M587" t="s">
        <v>103</v>
      </c>
      <c r="N587" t="str">
        <f t="shared" si="85"/>
        <v>Tech</v>
      </c>
      <c r="O587" t="s">
        <v>34</v>
      </c>
      <c r="P587" t="str">
        <f t="shared" si="86"/>
        <v>Python</v>
      </c>
      <c r="Q587">
        <v>9</v>
      </c>
      <c r="R587">
        <v>7</v>
      </c>
      <c r="S587">
        <v>10</v>
      </c>
      <c r="T587">
        <v>10</v>
      </c>
      <c r="U587">
        <v>5</v>
      </c>
      <c r="V587">
        <v>8</v>
      </c>
      <c r="W587" t="s">
        <v>85</v>
      </c>
      <c r="X587" t="s">
        <v>70</v>
      </c>
      <c r="Y587" t="s">
        <v>37</v>
      </c>
      <c r="Z587">
        <v>24</v>
      </c>
      <c r="AA587" t="s">
        <v>1690</v>
      </c>
      <c r="AB587" t="str">
        <f t="shared" si="87"/>
        <v>Other</v>
      </c>
      <c r="AC587" t="s">
        <v>237</v>
      </c>
      <c r="AD587" t="str">
        <f t="shared" si="88"/>
        <v>Bachelors</v>
      </c>
      <c r="AE587" t="s">
        <v>1691</v>
      </c>
      <c r="AF587" t="str">
        <f t="shared" si="89"/>
        <v>Other</v>
      </c>
    </row>
    <row r="588" spans="1:32" x14ac:dyDescent="0.45">
      <c r="A588" t="s">
        <v>1692</v>
      </c>
      <c r="B588" t="s">
        <v>25</v>
      </c>
      <c r="C588" s="3" t="s">
        <v>1641</v>
      </c>
      <c r="D588" s="3" t="e">
        <f t="shared" si="81"/>
        <v>#VALUE!</v>
      </c>
      <c r="E588" t="s">
        <v>1055</v>
      </c>
      <c r="F588" s="4">
        <f t="shared" si="82"/>
        <v>0.93680555555555556</v>
      </c>
      <c r="G588" t="s">
        <v>548</v>
      </c>
      <c r="H588" t="s">
        <v>30</v>
      </c>
      <c r="I588" t="str">
        <f t="shared" si="83"/>
        <v>Data Analyst</v>
      </c>
      <c r="J588" t="s">
        <v>31</v>
      </c>
      <c r="K588" t="s">
        <v>53</v>
      </c>
      <c r="L588">
        <f t="shared" si="84"/>
        <v>20</v>
      </c>
      <c r="M588" t="s">
        <v>103</v>
      </c>
      <c r="N588" t="str">
        <f t="shared" si="85"/>
        <v>Tech</v>
      </c>
      <c r="O588" t="s">
        <v>34</v>
      </c>
      <c r="P588" t="str">
        <f t="shared" si="86"/>
        <v>Python</v>
      </c>
      <c r="Q588">
        <v>6</v>
      </c>
      <c r="R588">
        <v>7</v>
      </c>
      <c r="S588">
        <v>7</v>
      </c>
      <c r="T588">
        <v>7</v>
      </c>
      <c r="U588">
        <v>5</v>
      </c>
      <c r="V588">
        <v>6</v>
      </c>
      <c r="W588" t="s">
        <v>85</v>
      </c>
      <c r="X588" t="s">
        <v>70</v>
      </c>
      <c r="Y588" t="s">
        <v>37</v>
      </c>
      <c r="Z588">
        <v>39</v>
      </c>
      <c r="AA588" t="s">
        <v>104</v>
      </c>
      <c r="AB588" t="str">
        <f t="shared" si="87"/>
        <v>Other</v>
      </c>
      <c r="AC588" t="s">
        <v>262</v>
      </c>
      <c r="AD588" t="str">
        <f t="shared" si="88"/>
        <v>Associates</v>
      </c>
      <c r="AE588" t="s">
        <v>39</v>
      </c>
      <c r="AF588" t="str">
        <f t="shared" si="89"/>
        <v>White or Caucasian</v>
      </c>
    </row>
    <row r="589" spans="1:32" x14ac:dyDescent="0.45">
      <c r="A589" t="s">
        <v>1693</v>
      </c>
      <c r="B589" t="s">
        <v>25</v>
      </c>
      <c r="C589" s="3" t="s">
        <v>1641</v>
      </c>
      <c r="D589" s="3" t="e">
        <f t="shared" si="81"/>
        <v>#VALUE!</v>
      </c>
      <c r="E589" t="s">
        <v>1055</v>
      </c>
      <c r="F589" s="4">
        <f t="shared" si="82"/>
        <v>0.93680555555555556</v>
      </c>
      <c r="G589" t="s">
        <v>1694</v>
      </c>
      <c r="H589" t="s">
        <v>30</v>
      </c>
      <c r="I589" t="str">
        <f t="shared" si="83"/>
        <v>Data Analyst</v>
      </c>
      <c r="J589" t="s">
        <v>31</v>
      </c>
      <c r="K589" t="s">
        <v>82</v>
      </c>
      <c r="L589">
        <f t="shared" si="84"/>
        <v>137.5</v>
      </c>
      <c r="M589" t="s">
        <v>45</v>
      </c>
      <c r="N589" t="str">
        <f t="shared" si="85"/>
        <v>Finance</v>
      </c>
      <c r="O589" t="s">
        <v>34</v>
      </c>
      <c r="P589" t="str">
        <f t="shared" si="86"/>
        <v>Python</v>
      </c>
      <c r="Q589">
        <v>6</v>
      </c>
      <c r="R589">
        <v>8</v>
      </c>
      <c r="S589">
        <v>7</v>
      </c>
      <c r="T589">
        <v>4</v>
      </c>
      <c r="U589">
        <v>4</v>
      </c>
      <c r="V589">
        <v>2</v>
      </c>
      <c r="W589" t="s">
        <v>55</v>
      </c>
      <c r="X589" t="s">
        <v>1695</v>
      </c>
      <c r="Y589" t="s">
        <v>37</v>
      </c>
      <c r="Z589">
        <v>34</v>
      </c>
      <c r="AA589" t="s">
        <v>199</v>
      </c>
      <c r="AB589" t="str">
        <f t="shared" si="87"/>
        <v>Other</v>
      </c>
      <c r="AC589" t="s">
        <v>237</v>
      </c>
      <c r="AD589" t="str">
        <f t="shared" si="88"/>
        <v>Bachelors</v>
      </c>
      <c r="AE589" t="s">
        <v>48</v>
      </c>
      <c r="AF589" t="str">
        <f t="shared" si="89"/>
        <v>Asian or Asian American</v>
      </c>
    </row>
    <row r="590" spans="1:32" x14ac:dyDescent="0.45">
      <c r="A590" t="s">
        <v>1696</v>
      </c>
      <c r="B590" t="s">
        <v>25</v>
      </c>
      <c r="C590" s="3" t="s">
        <v>1641</v>
      </c>
      <c r="D590" s="3" t="e">
        <f t="shared" si="81"/>
        <v>#VALUE!</v>
      </c>
      <c r="E590" t="s">
        <v>1360</v>
      </c>
      <c r="F590" s="4">
        <f t="shared" si="82"/>
        <v>0.94652777777777775</v>
      </c>
      <c r="G590" t="s">
        <v>165</v>
      </c>
      <c r="H590" t="s">
        <v>30</v>
      </c>
      <c r="I590" t="str">
        <f t="shared" si="83"/>
        <v>Data Analyst</v>
      </c>
      <c r="J590" t="s">
        <v>43</v>
      </c>
      <c r="K590" t="s">
        <v>44</v>
      </c>
      <c r="L590">
        <f t="shared" si="84"/>
        <v>53</v>
      </c>
      <c r="M590" t="s">
        <v>1697</v>
      </c>
      <c r="N590" t="str">
        <f t="shared" si="85"/>
        <v>Other</v>
      </c>
      <c r="O590" t="s">
        <v>34</v>
      </c>
      <c r="P590" t="str">
        <f t="shared" si="86"/>
        <v>Python</v>
      </c>
      <c r="Q590">
        <v>5</v>
      </c>
      <c r="R590">
        <v>6</v>
      </c>
      <c r="S590">
        <v>10</v>
      </c>
      <c r="T590">
        <v>7</v>
      </c>
      <c r="U590">
        <v>3</v>
      </c>
      <c r="V590">
        <v>3</v>
      </c>
      <c r="W590" t="s">
        <v>85</v>
      </c>
      <c r="X590" t="s">
        <v>36</v>
      </c>
      <c r="Y590" t="s">
        <v>37</v>
      </c>
      <c r="Z590">
        <v>27</v>
      </c>
      <c r="AA590" t="s">
        <v>38</v>
      </c>
      <c r="AB590" t="str">
        <f t="shared" si="87"/>
        <v>United States</v>
      </c>
      <c r="AC590" t="s">
        <v>237</v>
      </c>
      <c r="AD590" t="str">
        <f t="shared" si="88"/>
        <v>Bachelors</v>
      </c>
      <c r="AE590" t="s">
        <v>58</v>
      </c>
      <c r="AF590" t="str">
        <f t="shared" si="89"/>
        <v>Black or African American</v>
      </c>
    </row>
    <row r="591" spans="1:32" x14ac:dyDescent="0.45">
      <c r="A591" t="s">
        <v>1698</v>
      </c>
      <c r="B591" t="s">
        <v>25</v>
      </c>
      <c r="C591" s="3" t="s">
        <v>1641</v>
      </c>
      <c r="D591" s="3" t="e">
        <f t="shared" si="81"/>
        <v>#VALUE!</v>
      </c>
      <c r="E591" t="s">
        <v>1699</v>
      </c>
      <c r="F591" s="4">
        <f t="shared" si="82"/>
        <v>0.97847222222222219</v>
      </c>
      <c r="G591" t="s">
        <v>485</v>
      </c>
      <c r="H591" t="s">
        <v>30</v>
      </c>
      <c r="I591" t="str">
        <f t="shared" si="83"/>
        <v>Data Analyst</v>
      </c>
      <c r="J591" t="s">
        <v>31</v>
      </c>
      <c r="K591" t="s">
        <v>94</v>
      </c>
      <c r="L591">
        <f t="shared" si="84"/>
        <v>75.5</v>
      </c>
      <c r="M591" t="s">
        <v>33</v>
      </c>
      <c r="N591" t="str">
        <f t="shared" si="85"/>
        <v>Healthcare</v>
      </c>
      <c r="O591" t="s">
        <v>717</v>
      </c>
      <c r="P591" t="str">
        <f t="shared" si="86"/>
        <v>Other</v>
      </c>
      <c r="Q591">
        <v>7</v>
      </c>
      <c r="R591">
        <v>7</v>
      </c>
      <c r="S591">
        <v>4</v>
      </c>
      <c r="T591">
        <v>7</v>
      </c>
      <c r="U591">
        <v>7</v>
      </c>
      <c r="V591">
        <v>7</v>
      </c>
      <c r="W591" t="s">
        <v>69</v>
      </c>
      <c r="X591" t="s">
        <v>70</v>
      </c>
      <c r="Y591" t="s">
        <v>37</v>
      </c>
      <c r="Z591">
        <v>54</v>
      </c>
      <c r="AA591" t="s">
        <v>38</v>
      </c>
      <c r="AB591" t="str">
        <f t="shared" si="87"/>
        <v>United States</v>
      </c>
      <c r="AC591" t="s">
        <v>227</v>
      </c>
      <c r="AD591" t="str">
        <f t="shared" si="88"/>
        <v>High School</v>
      </c>
      <c r="AE591" t="s">
        <v>39</v>
      </c>
      <c r="AF591" t="str">
        <f t="shared" si="89"/>
        <v>White or Caucasian</v>
      </c>
    </row>
    <row r="592" spans="1:32" x14ac:dyDescent="0.45">
      <c r="A592" t="s">
        <v>1700</v>
      </c>
      <c r="B592" t="s">
        <v>25</v>
      </c>
      <c r="C592" s="3" t="s">
        <v>1641</v>
      </c>
      <c r="D592" s="3" t="e">
        <f t="shared" si="81"/>
        <v>#VALUE!</v>
      </c>
      <c r="E592" t="s">
        <v>1701</v>
      </c>
      <c r="F592" s="4">
        <f t="shared" si="82"/>
        <v>0.99305555555555558</v>
      </c>
      <c r="G592" t="s">
        <v>1520</v>
      </c>
      <c r="H592" t="s">
        <v>123</v>
      </c>
      <c r="I592" t="str">
        <f t="shared" si="83"/>
        <v>None</v>
      </c>
      <c r="J592" t="s">
        <v>43</v>
      </c>
      <c r="K592" t="s">
        <v>53</v>
      </c>
      <c r="L592">
        <f t="shared" si="84"/>
        <v>20</v>
      </c>
      <c r="M592" t="s">
        <v>103</v>
      </c>
      <c r="N592" t="str">
        <f t="shared" si="85"/>
        <v>Tech</v>
      </c>
      <c r="O592" t="s">
        <v>34</v>
      </c>
      <c r="P592" t="str">
        <f t="shared" si="86"/>
        <v>Python</v>
      </c>
      <c r="Q592">
        <v>0</v>
      </c>
      <c r="R592" t="s">
        <v>28</v>
      </c>
      <c r="S592" t="s">
        <v>28</v>
      </c>
      <c r="T592" t="s">
        <v>28</v>
      </c>
      <c r="U592" t="s">
        <v>28</v>
      </c>
      <c r="V592" t="s">
        <v>28</v>
      </c>
      <c r="W592" t="s">
        <v>69</v>
      </c>
      <c r="X592" t="s">
        <v>36</v>
      </c>
      <c r="Y592" t="s">
        <v>65</v>
      </c>
      <c r="Z592">
        <v>20</v>
      </c>
      <c r="AA592" t="s">
        <v>147</v>
      </c>
      <c r="AB592" t="str">
        <f t="shared" si="87"/>
        <v>India</v>
      </c>
      <c r="AC592" t="s">
        <v>237</v>
      </c>
      <c r="AD592" t="str">
        <f t="shared" si="88"/>
        <v>Bachelors</v>
      </c>
      <c r="AE592" t="s">
        <v>48</v>
      </c>
      <c r="AF592" t="str">
        <f t="shared" si="89"/>
        <v>Asian or Asian American</v>
      </c>
    </row>
    <row r="593" spans="1:32" x14ac:dyDescent="0.45">
      <c r="A593" t="s">
        <v>1702</v>
      </c>
      <c r="B593" t="s">
        <v>25</v>
      </c>
      <c r="C593" s="3" t="s">
        <v>1703</v>
      </c>
      <c r="D593" s="3" t="e">
        <f t="shared" si="81"/>
        <v>#VALUE!</v>
      </c>
      <c r="E593" t="s">
        <v>1704</v>
      </c>
      <c r="F593" s="4">
        <f t="shared" si="82"/>
        <v>0.10277777777777777</v>
      </c>
      <c r="G593" t="s">
        <v>344</v>
      </c>
      <c r="H593" t="s">
        <v>123</v>
      </c>
      <c r="I593" t="str">
        <f t="shared" si="83"/>
        <v>None</v>
      </c>
      <c r="J593" t="s">
        <v>31</v>
      </c>
      <c r="K593" t="s">
        <v>53</v>
      </c>
      <c r="L593">
        <f t="shared" si="84"/>
        <v>20</v>
      </c>
      <c r="M593" t="s">
        <v>45</v>
      </c>
      <c r="N593" t="str">
        <f t="shared" si="85"/>
        <v>Finance</v>
      </c>
      <c r="O593" t="s">
        <v>84</v>
      </c>
      <c r="P593" t="str">
        <f t="shared" si="86"/>
        <v>Other</v>
      </c>
      <c r="Q593">
        <v>3</v>
      </c>
      <c r="R593">
        <v>3</v>
      </c>
      <c r="S593">
        <v>3</v>
      </c>
      <c r="T593">
        <v>3</v>
      </c>
      <c r="U593">
        <v>3</v>
      </c>
      <c r="V593">
        <v>3</v>
      </c>
      <c r="W593" t="s">
        <v>85</v>
      </c>
      <c r="X593" t="s">
        <v>56</v>
      </c>
      <c r="Y593" t="s">
        <v>37</v>
      </c>
      <c r="Z593">
        <v>25</v>
      </c>
      <c r="AA593" t="s">
        <v>147</v>
      </c>
      <c r="AB593" t="str">
        <f t="shared" si="87"/>
        <v>India</v>
      </c>
      <c r="AC593" t="s">
        <v>240</v>
      </c>
      <c r="AD593" t="str">
        <f t="shared" si="88"/>
        <v>Masters</v>
      </c>
      <c r="AE593" t="s">
        <v>48</v>
      </c>
      <c r="AF593" t="str">
        <f t="shared" si="89"/>
        <v>Asian or Asian American</v>
      </c>
    </row>
    <row r="594" spans="1:32" x14ac:dyDescent="0.45">
      <c r="A594" t="s">
        <v>1705</v>
      </c>
      <c r="B594" t="s">
        <v>25</v>
      </c>
      <c r="C594" s="3" t="s">
        <v>1703</v>
      </c>
      <c r="D594" s="3" t="e">
        <f t="shared" si="81"/>
        <v>#VALUE!</v>
      </c>
      <c r="E594" t="s">
        <v>1706</v>
      </c>
      <c r="F594" s="4">
        <f t="shared" si="82"/>
        <v>0.2013888888888889</v>
      </c>
      <c r="G594" t="s">
        <v>825</v>
      </c>
      <c r="H594" t="s">
        <v>123</v>
      </c>
      <c r="I594" t="str">
        <f t="shared" si="83"/>
        <v>None</v>
      </c>
      <c r="J594" t="s">
        <v>43</v>
      </c>
      <c r="K594" t="s">
        <v>53</v>
      </c>
      <c r="L594">
        <f t="shared" si="84"/>
        <v>20</v>
      </c>
      <c r="M594" t="s">
        <v>103</v>
      </c>
      <c r="N594" t="str">
        <f t="shared" si="85"/>
        <v>Tech</v>
      </c>
      <c r="O594" t="s">
        <v>34</v>
      </c>
      <c r="P594" t="str">
        <f t="shared" si="86"/>
        <v>Python</v>
      </c>
      <c r="Q594">
        <v>7</v>
      </c>
      <c r="R594">
        <v>7</v>
      </c>
      <c r="S594">
        <v>2</v>
      </c>
      <c r="T594">
        <v>2</v>
      </c>
      <c r="U594">
        <v>7</v>
      </c>
      <c r="V594">
        <v>9</v>
      </c>
      <c r="W594" t="s">
        <v>55</v>
      </c>
      <c r="X594" t="s">
        <v>56</v>
      </c>
      <c r="Y594" t="s">
        <v>37</v>
      </c>
      <c r="Z594">
        <v>33</v>
      </c>
      <c r="AA594" t="s">
        <v>147</v>
      </c>
      <c r="AB594" t="str">
        <f t="shared" si="87"/>
        <v>India</v>
      </c>
      <c r="AC594" t="s">
        <v>237</v>
      </c>
      <c r="AD594" t="str">
        <f t="shared" si="88"/>
        <v>Bachelors</v>
      </c>
      <c r="AE594" t="s">
        <v>48</v>
      </c>
      <c r="AF594" t="str">
        <f t="shared" si="89"/>
        <v>Asian or Asian American</v>
      </c>
    </row>
    <row r="595" spans="1:32" x14ac:dyDescent="0.45">
      <c r="A595" t="s">
        <v>1707</v>
      </c>
      <c r="B595" t="s">
        <v>25</v>
      </c>
      <c r="C595" s="3" t="s">
        <v>1703</v>
      </c>
      <c r="D595" s="3" t="e">
        <f t="shared" si="81"/>
        <v>#VALUE!</v>
      </c>
      <c r="E595" t="s">
        <v>1708</v>
      </c>
      <c r="F595" s="4">
        <f t="shared" si="82"/>
        <v>0.22916666666666666</v>
      </c>
      <c r="G595" t="s">
        <v>485</v>
      </c>
      <c r="H595" t="s">
        <v>30</v>
      </c>
      <c r="I595" t="str">
        <f t="shared" si="83"/>
        <v>Data Analyst</v>
      </c>
      <c r="J595" t="s">
        <v>31</v>
      </c>
      <c r="K595" t="s">
        <v>44</v>
      </c>
      <c r="L595">
        <f t="shared" si="84"/>
        <v>53</v>
      </c>
      <c r="M595" t="s">
        <v>103</v>
      </c>
      <c r="N595" t="str">
        <f t="shared" si="85"/>
        <v>Tech</v>
      </c>
      <c r="O595" t="s">
        <v>34</v>
      </c>
      <c r="P595" t="str">
        <f t="shared" si="86"/>
        <v>Python</v>
      </c>
      <c r="Q595">
        <v>4</v>
      </c>
      <c r="R595">
        <v>8</v>
      </c>
      <c r="S595">
        <v>8</v>
      </c>
      <c r="T595">
        <v>8</v>
      </c>
      <c r="U595">
        <v>10</v>
      </c>
      <c r="V595">
        <v>10</v>
      </c>
      <c r="W595" t="s">
        <v>64</v>
      </c>
      <c r="X595" t="s">
        <v>36</v>
      </c>
      <c r="Y595" t="s">
        <v>37</v>
      </c>
      <c r="Z595">
        <v>30</v>
      </c>
      <c r="AA595" t="s">
        <v>109</v>
      </c>
      <c r="AB595" t="str">
        <f t="shared" si="87"/>
        <v>United Kingdom</v>
      </c>
      <c r="AC595" t="s">
        <v>240</v>
      </c>
      <c r="AD595" t="str">
        <f t="shared" si="88"/>
        <v>Masters</v>
      </c>
      <c r="AE595" t="s">
        <v>39</v>
      </c>
      <c r="AF595" t="str">
        <f t="shared" si="89"/>
        <v>White or Caucasian</v>
      </c>
    </row>
    <row r="596" spans="1:32" x14ac:dyDescent="0.45">
      <c r="A596" t="s">
        <v>1709</v>
      </c>
      <c r="B596" t="s">
        <v>25</v>
      </c>
      <c r="C596" s="3" t="s">
        <v>1703</v>
      </c>
      <c r="D596" s="3" t="e">
        <f t="shared" si="81"/>
        <v>#VALUE!</v>
      </c>
      <c r="E596" t="s">
        <v>1710</v>
      </c>
      <c r="F596" s="4">
        <f t="shared" si="82"/>
        <v>0.25</v>
      </c>
      <c r="G596" t="s">
        <v>1711</v>
      </c>
      <c r="H596" t="s">
        <v>123</v>
      </c>
      <c r="I596" t="str">
        <f t="shared" si="83"/>
        <v>None</v>
      </c>
      <c r="J596" t="s">
        <v>31</v>
      </c>
      <c r="K596" t="s">
        <v>53</v>
      </c>
      <c r="L596">
        <f t="shared" si="84"/>
        <v>20</v>
      </c>
      <c r="M596" t="s">
        <v>103</v>
      </c>
      <c r="N596" t="str">
        <f t="shared" si="85"/>
        <v>Tech</v>
      </c>
      <c r="O596" t="s">
        <v>34</v>
      </c>
      <c r="P596" t="str">
        <f t="shared" si="86"/>
        <v>Python</v>
      </c>
      <c r="Q596">
        <v>0</v>
      </c>
      <c r="R596">
        <v>4</v>
      </c>
      <c r="S596">
        <v>2</v>
      </c>
      <c r="T596">
        <v>0</v>
      </c>
      <c r="U596">
        <v>1</v>
      </c>
      <c r="V596">
        <v>3</v>
      </c>
      <c r="W596" t="s">
        <v>85</v>
      </c>
      <c r="X596" t="s">
        <v>70</v>
      </c>
      <c r="Y596" t="s">
        <v>37</v>
      </c>
      <c r="Z596">
        <v>31</v>
      </c>
      <c r="AA596" t="s">
        <v>120</v>
      </c>
      <c r="AB596" t="str">
        <f t="shared" si="87"/>
        <v>Other</v>
      </c>
      <c r="AC596" t="s">
        <v>227</v>
      </c>
      <c r="AD596" t="str">
        <f t="shared" si="88"/>
        <v>High School</v>
      </c>
      <c r="AE596" t="s">
        <v>58</v>
      </c>
      <c r="AF596" t="str">
        <f t="shared" si="89"/>
        <v>Black or African American</v>
      </c>
    </row>
    <row r="597" spans="1:32" x14ac:dyDescent="0.45">
      <c r="A597" t="s">
        <v>1712</v>
      </c>
      <c r="B597" t="s">
        <v>25</v>
      </c>
      <c r="C597" s="3" t="s">
        <v>1703</v>
      </c>
      <c r="D597" s="3" t="e">
        <f t="shared" si="81"/>
        <v>#VALUE!</v>
      </c>
      <c r="E597" t="s">
        <v>1713</v>
      </c>
      <c r="F597" s="4">
        <f t="shared" si="82"/>
        <v>0.28749999999999998</v>
      </c>
      <c r="G597" t="s">
        <v>801</v>
      </c>
      <c r="H597" t="s">
        <v>123</v>
      </c>
      <c r="I597" t="str">
        <f t="shared" si="83"/>
        <v>None</v>
      </c>
      <c r="J597" t="s">
        <v>31</v>
      </c>
      <c r="K597" t="s">
        <v>53</v>
      </c>
      <c r="L597">
        <f t="shared" si="84"/>
        <v>20</v>
      </c>
      <c r="M597" t="s">
        <v>1714</v>
      </c>
      <c r="N597" t="str">
        <f t="shared" si="85"/>
        <v>Other</v>
      </c>
      <c r="O597" t="s">
        <v>34</v>
      </c>
      <c r="P597" t="str">
        <f t="shared" si="86"/>
        <v>Python</v>
      </c>
      <c r="Q597">
        <v>5</v>
      </c>
      <c r="R597">
        <v>6</v>
      </c>
      <c r="S597">
        <v>5</v>
      </c>
      <c r="T597">
        <v>6</v>
      </c>
      <c r="U597">
        <v>2</v>
      </c>
      <c r="V597">
        <v>1</v>
      </c>
      <c r="W597" t="s">
        <v>69</v>
      </c>
      <c r="X597" t="s">
        <v>36</v>
      </c>
      <c r="Y597" t="s">
        <v>37</v>
      </c>
      <c r="Z597">
        <v>22</v>
      </c>
      <c r="AA597" t="s">
        <v>289</v>
      </c>
      <c r="AB597" t="str">
        <f t="shared" si="87"/>
        <v>Other</v>
      </c>
      <c r="AC597" t="s">
        <v>240</v>
      </c>
      <c r="AD597" t="str">
        <f t="shared" si="88"/>
        <v>Masters</v>
      </c>
      <c r="AE597" t="s">
        <v>1715</v>
      </c>
      <c r="AF597" t="str">
        <f t="shared" si="89"/>
        <v>Other</v>
      </c>
    </row>
    <row r="598" spans="1:32" x14ac:dyDescent="0.45">
      <c r="A598" t="s">
        <v>1716</v>
      </c>
      <c r="B598" t="s">
        <v>25</v>
      </c>
      <c r="C598" s="3" t="s">
        <v>1703</v>
      </c>
      <c r="D598" s="3" t="e">
        <f t="shared" si="81"/>
        <v>#VALUE!</v>
      </c>
      <c r="E598" t="s">
        <v>1717</v>
      </c>
      <c r="F598" s="4">
        <f t="shared" si="82"/>
        <v>0.33750000000000002</v>
      </c>
      <c r="G598" t="s">
        <v>93</v>
      </c>
      <c r="H598" t="s">
        <v>30</v>
      </c>
      <c r="I598" t="str">
        <f t="shared" si="83"/>
        <v>Data Analyst</v>
      </c>
      <c r="J598" t="s">
        <v>31</v>
      </c>
      <c r="K598" t="s">
        <v>94</v>
      </c>
      <c r="L598">
        <f t="shared" si="84"/>
        <v>75.5</v>
      </c>
      <c r="M598" t="s">
        <v>103</v>
      </c>
      <c r="N598" t="str">
        <f t="shared" si="85"/>
        <v>Tech</v>
      </c>
      <c r="O598" t="s">
        <v>46</v>
      </c>
      <c r="P598" t="str">
        <f t="shared" si="86"/>
        <v>R</v>
      </c>
      <c r="Q598">
        <v>8</v>
      </c>
      <c r="R598">
        <v>10</v>
      </c>
      <c r="S598">
        <v>10</v>
      </c>
      <c r="T598">
        <v>10</v>
      </c>
      <c r="U598">
        <v>8</v>
      </c>
      <c r="V598">
        <v>9</v>
      </c>
      <c r="W598" t="s">
        <v>85</v>
      </c>
      <c r="X598" t="s">
        <v>36</v>
      </c>
      <c r="Y598" t="s">
        <v>65</v>
      </c>
      <c r="Z598">
        <v>38</v>
      </c>
      <c r="AA598" t="s">
        <v>38</v>
      </c>
      <c r="AB598" t="str">
        <f t="shared" si="87"/>
        <v>United States</v>
      </c>
      <c r="AC598" t="s">
        <v>237</v>
      </c>
      <c r="AD598" t="str">
        <f t="shared" si="88"/>
        <v>Bachelors</v>
      </c>
      <c r="AE598" t="s">
        <v>58</v>
      </c>
      <c r="AF598" t="str">
        <f t="shared" si="89"/>
        <v>Black or African American</v>
      </c>
    </row>
    <row r="599" spans="1:32" x14ac:dyDescent="0.45">
      <c r="A599" t="s">
        <v>1718</v>
      </c>
      <c r="B599" t="s">
        <v>25</v>
      </c>
      <c r="C599" s="3" t="s">
        <v>1703</v>
      </c>
      <c r="D599" s="3" t="e">
        <f t="shared" si="81"/>
        <v>#VALUE!</v>
      </c>
      <c r="E599" t="s">
        <v>542</v>
      </c>
      <c r="F599" s="4">
        <f t="shared" si="82"/>
        <v>0.43680555555555556</v>
      </c>
      <c r="G599" t="s">
        <v>304</v>
      </c>
      <c r="H599" t="s">
        <v>30</v>
      </c>
      <c r="I599" t="str">
        <f t="shared" si="83"/>
        <v>Data Analyst</v>
      </c>
      <c r="J599" t="s">
        <v>43</v>
      </c>
      <c r="K599" t="s">
        <v>53</v>
      </c>
      <c r="L599">
        <f t="shared" si="84"/>
        <v>20</v>
      </c>
      <c r="M599" t="s">
        <v>95</v>
      </c>
      <c r="N599" t="str">
        <f t="shared" si="85"/>
        <v>Other</v>
      </c>
      <c r="O599" t="s">
        <v>34</v>
      </c>
      <c r="P599" t="str">
        <f t="shared" si="86"/>
        <v>Python</v>
      </c>
      <c r="Q599">
        <v>6</v>
      </c>
      <c r="R599">
        <v>9</v>
      </c>
      <c r="S599">
        <v>7</v>
      </c>
      <c r="T599">
        <v>7</v>
      </c>
      <c r="U599">
        <v>5</v>
      </c>
      <c r="V599">
        <v>8</v>
      </c>
      <c r="W599" t="s">
        <v>85</v>
      </c>
      <c r="X599" t="s">
        <v>56</v>
      </c>
      <c r="Y599" t="s">
        <v>37</v>
      </c>
      <c r="Z599">
        <v>22</v>
      </c>
      <c r="AA599" t="s">
        <v>744</v>
      </c>
      <c r="AB599" t="str">
        <f t="shared" si="87"/>
        <v>Other</v>
      </c>
      <c r="AC599" t="s">
        <v>237</v>
      </c>
      <c r="AD599" t="str">
        <f t="shared" si="88"/>
        <v>Bachelors</v>
      </c>
      <c r="AE599" t="s">
        <v>1719</v>
      </c>
      <c r="AF599" t="str">
        <f t="shared" si="89"/>
        <v>Other</v>
      </c>
    </row>
    <row r="600" spans="1:32" x14ac:dyDescent="0.45">
      <c r="A600" t="s">
        <v>1720</v>
      </c>
      <c r="B600" t="s">
        <v>25</v>
      </c>
      <c r="C600" s="3" t="s">
        <v>1703</v>
      </c>
      <c r="D600" s="3" t="e">
        <f t="shared" si="81"/>
        <v>#VALUE!</v>
      </c>
      <c r="E600" t="s">
        <v>1721</v>
      </c>
      <c r="F600" s="4">
        <f t="shared" si="82"/>
        <v>0.56805555555555554</v>
      </c>
      <c r="G600" t="s">
        <v>154</v>
      </c>
      <c r="H600" t="s">
        <v>77</v>
      </c>
      <c r="I600" t="str">
        <f t="shared" si="83"/>
        <v>Data Scientist</v>
      </c>
      <c r="J600" t="s">
        <v>31</v>
      </c>
      <c r="K600" t="s">
        <v>53</v>
      </c>
      <c r="L600">
        <f t="shared" si="84"/>
        <v>20</v>
      </c>
      <c r="M600" t="s">
        <v>712</v>
      </c>
      <c r="N600" t="str">
        <f t="shared" si="85"/>
        <v>Real Estate</v>
      </c>
      <c r="O600" t="s">
        <v>34</v>
      </c>
      <c r="P600" t="str">
        <f t="shared" si="86"/>
        <v>Python</v>
      </c>
      <c r="Q600">
        <v>2</v>
      </c>
      <c r="R600">
        <v>3</v>
      </c>
      <c r="S600">
        <v>4</v>
      </c>
      <c r="T600">
        <v>5</v>
      </c>
      <c r="U600">
        <v>3</v>
      </c>
      <c r="V600">
        <v>6</v>
      </c>
      <c r="W600" t="s">
        <v>64</v>
      </c>
      <c r="X600" t="s">
        <v>70</v>
      </c>
      <c r="Y600" t="s">
        <v>37</v>
      </c>
      <c r="Z600">
        <v>33</v>
      </c>
      <c r="AA600" t="s">
        <v>147</v>
      </c>
      <c r="AB600" t="str">
        <f t="shared" si="87"/>
        <v>India</v>
      </c>
      <c r="AC600" t="s">
        <v>237</v>
      </c>
      <c r="AD600" t="str">
        <f t="shared" si="88"/>
        <v>Bachelors</v>
      </c>
      <c r="AE600" t="s">
        <v>48</v>
      </c>
      <c r="AF600" t="str">
        <f t="shared" si="89"/>
        <v>Asian or Asian American</v>
      </c>
    </row>
    <row r="601" spans="1:32" x14ac:dyDescent="0.45">
      <c r="A601" t="s">
        <v>1722</v>
      </c>
      <c r="B601" t="s">
        <v>25</v>
      </c>
      <c r="C601" s="3" t="s">
        <v>1703</v>
      </c>
      <c r="D601" s="3" t="e">
        <f t="shared" si="81"/>
        <v>#VALUE!</v>
      </c>
      <c r="E601" t="s">
        <v>888</v>
      </c>
      <c r="F601" s="4">
        <f t="shared" si="82"/>
        <v>0.64236111111111116</v>
      </c>
      <c r="G601" t="s">
        <v>215</v>
      </c>
      <c r="H601" t="s">
        <v>30</v>
      </c>
      <c r="I601" t="str">
        <f t="shared" si="83"/>
        <v>Data Analyst</v>
      </c>
      <c r="J601" t="s">
        <v>31</v>
      </c>
      <c r="K601" t="s">
        <v>44</v>
      </c>
      <c r="L601">
        <f t="shared" si="84"/>
        <v>53</v>
      </c>
      <c r="M601" t="s">
        <v>103</v>
      </c>
      <c r="N601" t="str">
        <f t="shared" si="85"/>
        <v>Tech</v>
      </c>
      <c r="O601" t="s">
        <v>34</v>
      </c>
      <c r="P601" t="str">
        <f t="shared" si="86"/>
        <v>Python</v>
      </c>
      <c r="Q601">
        <v>3</v>
      </c>
      <c r="R601">
        <v>6</v>
      </c>
      <c r="S601">
        <v>6</v>
      </c>
      <c r="T601">
        <v>6</v>
      </c>
      <c r="U601">
        <v>5</v>
      </c>
      <c r="V601">
        <v>5</v>
      </c>
      <c r="W601" t="s">
        <v>85</v>
      </c>
      <c r="X601" t="s">
        <v>70</v>
      </c>
      <c r="Y601" t="s">
        <v>37</v>
      </c>
      <c r="Z601">
        <v>27</v>
      </c>
      <c r="AA601" t="s">
        <v>47</v>
      </c>
      <c r="AB601" t="str">
        <f t="shared" si="87"/>
        <v>Canada</v>
      </c>
      <c r="AC601" t="s">
        <v>237</v>
      </c>
      <c r="AD601" t="str">
        <f t="shared" si="88"/>
        <v>Bachelors</v>
      </c>
      <c r="AE601" t="s">
        <v>39</v>
      </c>
      <c r="AF601" t="str">
        <f t="shared" si="89"/>
        <v>White or Caucasian</v>
      </c>
    </row>
    <row r="602" spans="1:32" x14ac:dyDescent="0.45">
      <c r="A602" t="s">
        <v>1723</v>
      </c>
      <c r="B602" t="s">
        <v>25</v>
      </c>
      <c r="C602" s="3" t="s">
        <v>1703</v>
      </c>
      <c r="D602" s="3" t="e">
        <f t="shared" si="81"/>
        <v>#VALUE!</v>
      </c>
      <c r="E602" t="s">
        <v>1724</v>
      </c>
      <c r="F602" s="4">
        <f t="shared" si="82"/>
        <v>0.66666666666666663</v>
      </c>
      <c r="G602" t="s">
        <v>143</v>
      </c>
      <c r="H602" t="s">
        <v>30</v>
      </c>
      <c r="I602" t="str">
        <f t="shared" si="83"/>
        <v>Data Analyst</v>
      </c>
      <c r="J602" t="s">
        <v>43</v>
      </c>
      <c r="K602" t="s">
        <v>53</v>
      </c>
      <c r="L602">
        <f t="shared" si="84"/>
        <v>20</v>
      </c>
      <c r="M602" t="s">
        <v>103</v>
      </c>
      <c r="N602" t="str">
        <f t="shared" si="85"/>
        <v>Tech</v>
      </c>
      <c r="O602" t="s">
        <v>46</v>
      </c>
      <c r="P602" t="str">
        <f t="shared" si="86"/>
        <v>R</v>
      </c>
      <c r="Q602">
        <v>0</v>
      </c>
      <c r="R602">
        <v>6</v>
      </c>
      <c r="S602">
        <v>3</v>
      </c>
      <c r="T602">
        <v>0</v>
      </c>
      <c r="U602">
        <v>0</v>
      </c>
      <c r="V602">
        <v>10</v>
      </c>
      <c r="W602" t="s">
        <v>85</v>
      </c>
      <c r="X602" t="s">
        <v>36</v>
      </c>
      <c r="Y602" t="s">
        <v>37</v>
      </c>
      <c r="Z602">
        <v>19</v>
      </c>
      <c r="AA602" t="s">
        <v>1725</v>
      </c>
      <c r="AB602" t="str">
        <f t="shared" si="87"/>
        <v>Other</v>
      </c>
      <c r="AC602" t="s">
        <v>237</v>
      </c>
      <c r="AD602" t="str">
        <f t="shared" si="88"/>
        <v>Bachelors</v>
      </c>
      <c r="AE602" t="s">
        <v>39</v>
      </c>
      <c r="AF602" t="str">
        <f t="shared" si="89"/>
        <v>White or Caucasian</v>
      </c>
    </row>
    <row r="603" spans="1:32" x14ac:dyDescent="0.45">
      <c r="A603" t="s">
        <v>1726</v>
      </c>
      <c r="B603" t="s">
        <v>25</v>
      </c>
      <c r="C603" s="3" t="s">
        <v>1703</v>
      </c>
      <c r="D603" s="3" t="e">
        <f t="shared" si="81"/>
        <v>#VALUE!</v>
      </c>
      <c r="E603" t="s">
        <v>1727</v>
      </c>
      <c r="F603" s="4">
        <f t="shared" si="82"/>
        <v>0.95277777777777772</v>
      </c>
      <c r="G603" t="s">
        <v>112</v>
      </c>
      <c r="H603" t="s">
        <v>1728</v>
      </c>
      <c r="I603" t="str">
        <f t="shared" si="83"/>
        <v>Other</v>
      </c>
      <c r="J603" t="s">
        <v>43</v>
      </c>
      <c r="K603" t="s">
        <v>53</v>
      </c>
      <c r="L603">
        <f t="shared" si="84"/>
        <v>20</v>
      </c>
      <c r="M603" t="s">
        <v>1254</v>
      </c>
      <c r="N603" t="str">
        <f t="shared" si="85"/>
        <v>Other</v>
      </c>
      <c r="O603" t="s">
        <v>34</v>
      </c>
      <c r="P603" t="str">
        <f t="shared" si="86"/>
        <v>Python</v>
      </c>
      <c r="Q603">
        <v>1</v>
      </c>
      <c r="R603">
        <v>6</v>
      </c>
      <c r="S603">
        <v>2</v>
      </c>
      <c r="T603">
        <v>5</v>
      </c>
      <c r="U603">
        <v>1</v>
      </c>
      <c r="V603">
        <v>0</v>
      </c>
      <c r="W603" t="s">
        <v>85</v>
      </c>
      <c r="X603" t="s">
        <v>70</v>
      </c>
      <c r="Y603" t="s">
        <v>37</v>
      </c>
      <c r="Z603">
        <v>24</v>
      </c>
      <c r="AA603" t="s">
        <v>147</v>
      </c>
      <c r="AB603" t="str">
        <f t="shared" si="87"/>
        <v>India</v>
      </c>
      <c r="AC603" t="s">
        <v>237</v>
      </c>
      <c r="AD603" t="str">
        <f t="shared" si="88"/>
        <v>Bachelors</v>
      </c>
      <c r="AE603" t="s">
        <v>200</v>
      </c>
      <c r="AF603" t="str">
        <f t="shared" si="89"/>
        <v>Other</v>
      </c>
    </row>
    <row r="604" spans="1:32" x14ac:dyDescent="0.45">
      <c r="A604" t="s">
        <v>1729</v>
      </c>
      <c r="B604" t="s">
        <v>25</v>
      </c>
      <c r="C604" s="3" t="s">
        <v>1703</v>
      </c>
      <c r="D604" s="3" t="e">
        <f t="shared" si="81"/>
        <v>#VALUE!</v>
      </c>
      <c r="E604" t="s">
        <v>1730</v>
      </c>
      <c r="F604" s="4">
        <f t="shared" si="82"/>
        <v>0.95763888888888893</v>
      </c>
      <c r="G604" t="s">
        <v>1467</v>
      </c>
      <c r="H604" t="s">
        <v>1731</v>
      </c>
      <c r="I604" t="str">
        <f t="shared" si="83"/>
        <v>Other</v>
      </c>
      <c r="J604" t="s">
        <v>43</v>
      </c>
      <c r="K604" t="s">
        <v>63</v>
      </c>
      <c r="L604">
        <f t="shared" si="84"/>
        <v>187.5</v>
      </c>
      <c r="M604" t="s">
        <v>45</v>
      </c>
      <c r="N604" t="str">
        <f t="shared" si="85"/>
        <v>Finance</v>
      </c>
      <c r="O604" t="s">
        <v>1732</v>
      </c>
      <c r="P604" t="str">
        <f t="shared" si="86"/>
        <v>Other</v>
      </c>
      <c r="Q604">
        <v>8</v>
      </c>
      <c r="R604">
        <v>10</v>
      </c>
      <c r="S604">
        <v>9</v>
      </c>
      <c r="T604">
        <v>10</v>
      </c>
      <c r="U604">
        <v>8</v>
      </c>
      <c r="V604">
        <v>10</v>
      </c>
      <c r="W604" t="s">
        <v>64</v>
      </c>
      <c r="X604" t="s">
        <v>114</v>
      </c>
      <c r="Y604" t="s">
        <v>65</v>
      </c>
      <c r="Z604">
        <v>58</v>
      </c>
      <c r="AA604" t="s">
        <v>38</v>
      </c>
      <c r="AB604" t="str">
        <f t="shared" si="87"/>
        <v>United States</v>
      </c>
      <c r="AC604" t="s">
        <v>240</v>
      </c>
      <c r="AD604" t="str">
        <f t="shared" si="88"/>
        <v>Masters</v>
      </c>
      <c r="AE604" t="s">
        <v>39</v>
      </c>
      <c r="AF604" t="str">
        <f t="shared" si="89"/>
        <v>White or Caucasian</v>
      </c>
    </row>
    <row r="605" spans="1:32" x14ac:dyDescent="0.45">
      <c r="A605" t="s">
        <v>1733</v>
      </c>
      <c r="B605" t="s">
        <v>25</v>
      </c>
      <c r="C605" s="3" t="s">
        <v>1734</v>
      </c>
      <c r="D605" s="3" t="e">
        <f t="shared" si="81"/>
        <v>#VALUE!</v>
      </c>
      <c r="E605" t="s">
        <v>1452</v>
      </c>
      <c r="F605" s="4">
        <f t="shared" si="82"/>
        <v>0.5854166666666667</v>
      </c>
      <c r="G605" t="s">
        <v>165</v>
      </c>
      <c r="H605" t="s">
        <v>30</v>
      </c>
      <c r="I605" t="str">
        <f t="shared" si="83"/>
        <v>Data Analyst</v>
      </c>
      <c r="J605" t="s">
        <v>43</v>
      </c>
      <c r="K605" t="s">
        <v>53</v>
      </c>
      <c r="L605">
        <f t="shared" si="84"/>
        <v>20</v>
      </c>
      <c r="M605" t="s">
        <v>103</v>
      </c>
      <c r="N605" t="str">
        <f t="shared" si="85"/>
        <v>Tech</v>
      </c>
      <c r="O605" t="s">
        <v>34</v>
      </c>
      <c r="P605" t="str">
        <f t="shared" si="86"/>
        <v>Python</v>
      </c>
      <c r="Q605">
        <v>2</v>
      </c>
      <c r="R605">
        <v>2</v>
      </c>
      <c r="S605">
        <v>5</v>
      </c>
      <c r="T605">
        <v>6</v>
      </c>
      <c r="U605">
        <v>6</v>
      </c>
      <c r="V605">
        <v>3</v>
      </c>
      <c r="W605" t="s">
        <v>85</v>
      </c>
      <c r="X605" t="s">
        <v>56</v>
      </c>
      <c r="Y605" t="s">
        <v>37</v>
      </c>
      <c r="Z605">
        <v>22</v>
      </c>
      <c r="AA605" t="s">
        <v>419</v>
      </c>
      <c r="AB605" t="str">
        <f t="shared" si="87"/>
        <v>Other</v>
      </c>
      <c r="AC605" t="s">
        <v>237</v>
      </c>
      <c r="AD605" t="str">
        <f t="shared" si="88"/>
        <v>Bachelors</v>
      </c>
      <c r="AE605" t="s">
        <v>58</v>
      </c>
      <c r="AF605" t="str">
        <f t="shared" si="89"/>
        <v>Black or African American</v>
      </c>
    </row>
    <row r="606" spans="1:32" x14ac:dyDescent="0.45">
      <c r="A606" t="s">
        <v>1735</v>
      </c>
      <c r="B606" t="s">
        <v>25</v>
      </c>
      <c r="C606" s="3" t="s">
        <v>1734</v>
      </c>
      <c r="D606" s="3" t="e">
        <f t="shared" si="81"/>
        <v>#VALUE!</v>
      </c>
      <c r="E606" t="s">
        <v>1736</v>
      </c>
      <c r="F606" s="4">
        <f t="shared" si="82"/>
        <v>0.69236111111111109</v>
      </c>
      <c r="G606" t="s">
        <v>467</v>
      </c>
      <c r="H606" t="s">
        <v>30</v>
      </c>
      <c r="I606" t="str">
        <f t="shared" si="83"/>
        <v>Data Analyst</v>
      </c>
      <c r="J606" t="s">
        <v>43</v>
      </c>
      <c r="K606" t="s">
        <v>87</v>
      </c>
      <c r="L606">
        <f t="shared" si="84"/>
        <v>95.5</v>
      </c>
      <c r="M606" t="s">
        <v>103</v>
      </c>
      <c r="N606" t="str">
        <f t="shared" si="85"/>
        <v>Tech</v>
      </c>
      <c r="O606" t="s">
        <v>34</v>
      </c>
      <c r="P606" t="str">
        <f t="shared" si="86"/>
        <v>Python</v>
      </c>
      <c r="Q606">
        <v>4</v>
      </c>
      <c r="R606">
        <v>4</v>
      </c>
      <c r="S606">
        <v>4</v>
      </c>
      <c r="T606">
        <v>4</v>
      </c>
      <c r="U606">
        <v>3</v>
      </c>
      <c r="V606">
        <v>4</v>
      </c>
      <c r="W606" t="s">
        <v>85</v>
      </c>
      <c r="X606" t="s">
        <v>70</v>
      </c>
      <c r="Y606" t="s">
        <v>37</v>
      </c>
      <c r="Z606">
        <v>26</v>
      </c>
      <c r="AA606" t="s">
        <v>1737</v>
      </c>
      <c r="AB606" t="str">
        <f t="shared" si="87"/>
        <v>Other</v>
      </c>
      <c r="AC606" t="s">
        <v>240</v>
      </c>
      <c r="AD606" t="str">
        <f t="shared" si="88"/>
        <v>Masters</v>
      </c>
      <c r="AE606" t="s">
        <v>48</v>
      </c>
      <c r="AF606" t="str">
        <f t="shared" si="89"/>
        <v>Asian or Asian American</v>
      </c>
    </row>
    <row r="607" spans="1:32" x14ac:dyDescent="0.45">
      <c r="A607" t="s">
        <v>1738</v>
      </c>
      <c r="B607" t="s">
        <v>25</v>
      </c>
      <c r="C607" s="3" t="s">
        <v>1734</v>
      </c>
      <c r="D607" s="3" t="e">
        <f t="shared" si="81"/>
        <v>#VALUE!</v>
      </c>
      <c r="E607" t="s">
        <v>1739</v>
      </c>
      <c r="F607" s="4">
        <f t="shared" si="82"/>
        <v>0.72361111111111109</v>
      </c>
      <c r="G607" t="s">
        <v>1225</v>
      </c>
      <c r="H607" t="s">
        <v>1740</v>
      </c>
      <c r="I607" t="str">
        <f t="shared" si="83"/>
        <v>Other</v>
      </c>
      <c r="J607" t="s">
        <v>43</v>
      </c>
      <c r="K607" t="s">
        <v>44</v>
      </c>
      <c r="L607">
        <f t="shared" si="84"/>
        <v>53</v>
      </c>
      <c r="M607" t="s">
        <v>103</v>
      </c>
      <c r="N607" t="str">
        <f t="shared" si="85"/>
        <v>Tech</v>
      </c>
      <c r="O607" t="s">
        <v>376</v>
      </c>
      <c r="P607" t="str">
        <f t="shared" si="86"/>
        <v>Other</v>
      </c>
      <c r="Q607">
        <v>4</v>
      </c>
      <c r="R607">
        <v>5</v>
      </c>
      <c r="S607">
        <v>4</v>
      </c>
      <c r="T607">
        <v>5</v>
      </c>
      <c r="U607">
        <v>5</v>
      </c>
      <c r="V607">
        <v>3</v>
      </c>
      <c r="W607" t="s">
        <v>55</v>
      </c>
      <c r="X607" t="s">
        <v>114</v>
      </c>
      <c r="Y607" t="s">
        <v>65</v>
      </c>
      <c r="Z607">
        <v>31</v>
      </c>
      <c r="AA607" t="s">
        <v>109</v>
      </c>
      <c r="AB607" t="str">
        <f t="shared" si="87"/>
        <v>United Kingdom</v>
      </c>
      <c r="AC607" t="s">
        <v>237</v>
      </c>
      <c r="AD607" t="str">
        <f t="shared" si="88"/>
        <v>Bachelors</v>
      </c>
      <c r="AE607" t="s">
        <v>39</v>
      </c>
      <c r="AF607" t="str">
        <f t="shared" si="89"/>
        <v>White or Caucasian</v>
      </c>
    </row>
    <row r="608" spans="1:32" x14ac:dyDescent="0.45">
      <c r="A608" t="s">
        <v>1741</v>
      </c>
      <c r="B608" t="s">
        <v>25</v>
      </c>
      <c r="C608" s="3" t="s">
        <v>1742</v>
      </c>
      <c r="D608" s="3" t="e">
        <f t="shared" si="81"/>
        <v>#VALUE!</v>
      </c>
      <c r="E608" t="s">
        <v>1743</v>
      </c>
      <c r="F608" s="4">
        <f t="shared" si="82"/>
        <v>3.3333333333333333E-2</v>
      </c>
      <c r="G608" t="s">
        <v>317</v>
      </c>
      <c r="H608" t="s">
        <v>30</v>
      </c>
      <c r="I608" t="str">
        <f t="shared" si="83"/>
        <v>Data Analyst</v>
      </c>
      <c r="J608" t="s">
        <v>43</v>
      </c>
      <c r="K608" t="s">
        <v>44</v>
      </c>
      <c r="L608">
        <f t="shared" si="84"/>
        <v>53</v>
      </c>
      <c r="M608" t="s">
        <v>794</v>
      </c>
      <c r="N608" t="str">
        <f t="shared" si="85"/>
        <v>Agriculture</v>
      </c>
      <c r="O608" t="s">
        <v>34</v>
      </c>
      <c r="P608" t="str">
        <f t="shared" si="86"/>
        <v>Python</v>
      </c>
      <c r="Q608">
        <v>2</v>
      </c>
      <c r="R608">
        <v>2</v>
      </c>
      <c r="S608">
        <v>4</v>
      </c>
      <c r="T608">
        <v>5</v>
      </c>
      <c r="U608">
        <v>1</v>
      </c>
      <c r="V608">
        <v>1</v>
      </c>
      <c r="W608" t="s">
        <v>85</v>
      </c>
      <c r="X608" t="s">
        <v>70</v>
      </c>
      <c r="Y608" t="s">
        <v>37</v>
      </c>
      <c r="Z608">
        <v>23</v>
      </c>
      <c r="AA608" t="s">
        <v>38</v>
      </c>
      <c r="AB608" t="str">
        <f t="shared" si="87"/>
        <v>United States</v>
      </c>
      <c r="AC608" t="s">
        <v>227</v>
      </c>
      <c r="AD608" t="str">
        <f t="shared" si="88"/>
        <v>High School</v>
      </c>
      <c r="AE608" t="s">
        <v>91</v>
      </c>
      <c r="AF608" t="str">
        <f t="shared" si="89"/>
        <v>Hispanic or Latino</v>
      </c>
    </row>
    <row r="609" spans="1:32" x14ac:dyDescent="0.45">
      <c r="A609" t="s">
        <v>1744</v>
      </c>
      <c r="B609" t="s">
        <v>25</v>
      </c>
      <c r="C609" s="3" t="s">
        <v>1742</v>
      </c>
      <c r="D609" s="3" t="e">
        <f t="shared" si="81"/>
        <v>#VALUE!</v>
      </c>
      <c r="E609" t="s">
        <v>547</v>
      </c>
      <c r="F609" s="4">
        <f t="shared" si="82"/>
        <v>0.43958333333333333</v>
      </c>
      <c r="G609" t="s">
        <v>154</v>
      </c>
      <c r="H609" t="s">
        <v>30</v>
      </c>
      <c r="I609" t="str">
        <f t="shared" si="83"/>
        <v>Data Analyst</v>
      </c>
      <c r="J609" t="s">
        <v>43</v>
      </c>
      <c r="K609" t="s">
        <v>87</v>
      </c>
      <c r="L609">
        <f t="shared" si="84"/>
        <v>95.5</v>
      </c>
      <c r="M609" t="s">
        <v>33</v>
      </c>
      <c r="N609" t="str">
        <f t="shared" si="85"/>
        <v>Healthcare</v>
      </c>
      <c r="O609" t="s">
        <v>34</v>
      </c>
      <c r="P609" t="str">
        <f t="shared" si="86"/>
        <v>Python</v>
      </c>
      <c r="Q609">
        <v>7</v>
      </c>
      <c r="R609">
        <v>10</v>
      </c>
      <c r="S609">
        <v>10</v>
      </c>
      <c r="T609">
        <v>10</v>
      </c>
      <c r="U609">
        <v>7</v>
      </c>
      <c r="V609">
        <v>8</v>
      </c>
      <c r="W609" t="s">
        <v>85</v>
      </c>
      <c r="X609" t="s">
        <v>36</v>
      </c>
      <c r="Y609" t="s">
        <v>65</v>
      </c>
      <c r="Z609">
        <v>31</v>
      </c>
      <c r="AA609" t="s">
        <v>38</v>
      </c>
      <c r="AB609" t="str">
        <f t="shared" si="87"/>
        <v>United States</v>
      </c>
      <c r="AC609" t="s">
        <v>240</v>
      </c>
      <c r="AD609" t="str">
        <f t="shared" si="88"/>
        <v>Masters</v>
      </c>
      <c r="AE609" t="s">
        <v>48</v>
      </c>
      <c r="AF609" t="str">
        <f t="shared" si="89"/>
        <v>Asian or Asian American</v>
      </c>
    </row>
    <row r="610" spans="1:32" x14ac:dyDescent="0.45">
      <c r="A610" t="s">
        <v>1745</v>
      </c>
      <c r="B610" t="s">
        <v>25</v>
      </c>
      <c r="C610" s="3" t="s">
        <v>1742</v>
      </c>
      <c r="D610" s="3" t="e">
        <f t="shared" si="81"/>
        <v>#VALUE!</v>
      </c>
      <c r="E610" t="s">
        <v>1746</v>
      </c>
      <c r="F610" s="4">
        <f t="shared" si="82"/>
        <v>0.48749999999999999</v>
      </c>
      <c r="G610" t="s">
        <v>141</v>
      </c>
      <c r="H610" t="s">
        <v>123</v>
      </c>
      <c r="I610" t="str">
        <f t="shared" si="83"/>
        <v>None</v>
      </c>
      <c r="J610" t="s">
        <v>43</v>
      </c>
      <c r="K610" t="s">
        <v>94</v>
      </c>
      <c r="L610">
        <f t="shared" si="84"/>
        <v>75.5</v>
      </c>
      <c r="M610" t="s">
        <v>113</v>
      </c>
      <c r="N610" t="str">
        <f t="shared" si="85"/>
        <v>Construction</v>
      </c>
      <c r="O610" t="s">
        <v>376</v>
      </c>
      <c r="P610" t="str">
        <f t="shared" si="86"/>
        <v>Other</v>
      </c>
      <c r="Q610">
        <v>5</v>
      </c>
      <c r="R610">
        <v>5</v>
      </c>
      <c r="S610">
        <v>7</v>
      </c>
      <c r="T610">
        <v>7</v>
      </c>
      <c r="U610">
        <v>9</v>
      </c>
      <c r="V610">
        <v>10</v>
      </c>
      <c r="W610" t="s">
        <v>69</v>
      </c>
      <c r="X610" t="s">
        <v>70</v>
      </c>
      <c r="Y610" t="s">
        <v>65</v>
      </c>
      <c r="Z610">
        <v>24</v>
      </c>
      <c r="AA610" t="s">
        <v>38</v>
      </c>
      <c r="AB610" t="str">
        <f t="shared" si="87"/>
        <v>United States</v>
      </c>
      <c r="AC610" t="s">
        <v>237</v>
      </c>
      <c r="AD610" t="str">
        <f t="shared" si="88"/>
        <v>Bachelors</v>
      </c>
      <c r="AE610" t="s">
        <v>48</v>
      </c>
      <c r="AF610" t="str">
        <f t="shared" si="89"/>
        <v>Asian or Asian American</v>
      </c>
    </row>
    <row r="611" spans="1:32" x14ac:dyDescent="0.45">
      <c r="A611" t="s">
        <v>1747</v>
      </c>
      <c r="B611" t="s">
        <v>25</v>
      </c>
      <c r="C611" s="3" t="s">
        <v>1742</v>
      </c>
      <c r="D611" s="3" t="e">
        <f t="shared" si="81"/>
        <v>#VALUE!</v>
      </c>
      <c r="E611" t="s">
        <v>1748</v>
      </c>
      <c r="F611" s="4">
        <f t="shared" si="82"/>
        <v>0.83611111111111114</v>
      </c>
      <c r="G611" t="s">
        <v>789</v>
      </c>
      <c r="H611" t="s">
        <v>625</v>
      </c>
      <c r="I611" t="str">
        <f t="shared" si="83"/>
        <v>Other</v>
      </c>
      <c r="J611" t="s">
        <v>31</v>
      </c>
      <c r="K611" t="s">
        <v>44</v>
      </c>
      <c r="L611">
        <f t="shared" si="84"/>
        <v>53</v>
      </c>
      <c r="M611" t="s">
        <v>45</v>
      </c>
      <c r="N611" t="str">
        <f t="shared" si="85"/>
        <v>Finance</v>
      </c>
      <c r="O611" t="s">
        <v>34</v>
      </c>
      <c r="P611" t="str">
        <f t="shared" si="86"/>
        <v>Python</v>
      </c>
      <c r="Q611">
        <v>8</v>
      </c>
      <c r="R611">
        <v>10</v>
      </c>
      <c r="S611">
        <v>10</v>
      </c>
      <c r="T611">
        <v>10</v>
      </c>
      <c r="U611">
        <v>10</v>
      </c>
      <c r="V611">
        <v>10</v>
      </c>
      <c r="W611" t="s">
        <v>85</v>
      </c>
      <c r="X611" t="s">
        <v>70</v>
      </c>
      <c r="Y611" t="s">
        <v>37</v>
      </c>
      <c r="Z611">
        <v>29</v>
      </c>
      <c r="AA611" t="s">
        <v>347</v>
      </c>
      <c r="AB611" t="str">
        <f t="shared" si="87"/>
        <v>Other</v>
      </c>
      <c r="AC611" t="s">
        <v>237</v>
      </c>
      <c r="AD611" t="str">
        <f t="shared" si="88"/>
        <v>Bachelors</v>
      </c>
      <c r="AE611" t="s">
        <v>91</v>
      </c>
      <c r="AF611" t="str">
        <f t="shared" si="89"/>
        <v>Hispanic or Latino</v>
      </c>
    </row>
    <row r="612" spans="1:32" x14ac:dyDescent="0.45">
      <c r="A612" t="s">
        <v>1749</v>
      </c>
      <c r="B612" t="s">
        <v>25</v>
      </c>
      <c r="C612" s="3" t="s">
        <v>1750</v>
      </c>
      <c r="D612" s="3" t="e">
        <f t="shared" si="81"/>
        <v>#VALUE!</v>
      </c>
      <c r="E612" t="s">
        <v>1751</v>
      </c>
      <c r="F612" s="4">
        <f t="shared" si="82"/>
        <v>0.19444444444444445</v>
      </c>
      <c r="G612" t="s">
        <v>154</v>
      </c>
      <c r="H612" t="s">
        <v>123</v>
      </c>
      <c r="I612" t="str">
        <f t="shared" si="83"/>
        <v>None</v>
      </c>
      <c r="J612" t="s">
        <v>31</v>
      </c>
      <c r="K612" t="s">
        <v>53</v>
      </c>
      <c r="L612">
        <f t="shared" si="84"/>
        <v>20</v>
      </c>
      <c r="M612" t="s">
        <v>108</v>
      </c>
      <c r="N612" t="str">
        <f t="shared" si="85"/>
        <v>Education</v>
      </c>
      <c r="O612" t="s">
        <v>34</v>
      </c>
      <c r="P612" t="str">
        <f t="shared" si="86"/>
        <v>Python</v>
      </c>
      <c r="Q612">
        <v>7</v>
      </c>
      <c r="R612">
        <v>8</v>
      </c>
      <c r="S612">
        <v>9</v>
      </c>
      <c r="T612">
        <v>8</v>
      </c>
      <c r="U612">
        <v>9</v>
      </c>
      <c r="V612">
        <v>10</v>
      </c>
      <c r="W612" t="s">
        <v>69</v>
      </c>
      <c r="X612" t="s">
        <v>56</v>
      </c>
      <c r="Y612" t="s">
        <v>37</v>
      </c>
      <c r="Z612">
        <v>26</v>
      </c>
      <c r="AA612" t="s">
        <v>1488</v>
      </c>
      <c r="AB612" t="str">
        <f t="shared" si="87"/>
        <v>Other</v>
      </c>
      <c r="AC612" t="s">
        <v>237</v>
      </c>
      <c r="AD612" t="str">
        <f t="shared" si="88"/>
        <v>Bachelors</v>
      </c>
      <c r="AE612" t="s">
        <v>48</v>
      </c>
      <c r="AF612" t="str">
        <f t="shared" si="89"/>
        <v>Asian or Asian American</v>
      </c>
    </row>
    <row r="613" spans="1:32" x14ac:dyDescent="0.45">
      <c r="A613" t="s">
        <v>1752</v>
      </c>
      <c r="B613" t="s">
        <v>25</v>
      </c>
      <c r="C613" s="3" t="s">
        <v>1750</v>
      </c>
      <c r="D613" s="3" t="e">
        <f t="shared" si="81"/>
        <v>#VALUE!</v>
      </c>
      <c r="E613" t="s">
        <v>1753</v>
      </c>
      <c r="F613" s="4">
        <f t="shared" si="82"/>
        <v>0.30902777777777779</v>
      </c>
      <c r="G613" t="s">
        <v>196</v>
      </c>
      <c r="H613" t="s">
        <v>123</v>
      </c>
      <c r="I613" t="str">
        <f t="shared" si="83"/>
        <v>None</v>
      </c>
      <c r="J613" t="s">
        <v>31</v>
      </c>
      <c r="K613" t="s">
        <v>53</v>
      </c>
      <c r="L613">
        <f t="shared" si="84"/>
        <v>20</v>
      </c>
      <c r="M613" t="s">
        <v>1754</v>
      </c>
      <c r="N613" t="str">
        <f t="shared" si="85"/>
        <v>Other</v>
      </c>
      <c r="O613" t="s">
        <v>34</v>
      </c>
      <c r="P613" t="str">
        <f t="shared" si="86"/>
        <v>Python</v>
      </c>
      <c r="Q613">
        <v>3</v>
      </c>
      <c r="R613">
        <v>9</v>
      </c>
      <c r="S613">
        <v>9</v>
      </c>
      <c r="T613">
        <v>9</v>
      </c>
      <c r="U613">
        <v>9</v>
      </c>
      <c r="V613">
        <v>9</v>
      </c>
      <c r="W613" t="s">
        <v>85</v>
      </c>
      <c r="X613" t="s">
        <v>70</v>
      </c>
      <c r="Y613" t="s">
        <v>37</v>
      </c>
      <c r="Z613">
        <v>20</v>
      </c>
      <c r="AA613" t="s">
        <v>147</v>
      </c>
      <c r="AB613" t="str">
        <f t="shared" si="87"/>
        <v>India</v>
      </c>
      <c r="AC613" t="s">
        <v>227</v>
      </c>
      <c r="AD613" t="str">
        <f t="shared" si="88"/>
        <v>High School</v>
      </c>
      <c r="AE613" t="s">
        <v>48</v>
      </c>
      <c r="AF613" t="str">
        <f t="shared" si="89"/>
        <v>Asian or Asian American</v>
      </c>
    </row>
    <row r="614" spans="1:32" x14ac:dyDescent="0.45">
      <c r="A614" t="s">
        <v>1755</v>
      </c>
      <c r="B614" t="s">
        <v>25</v>
      </c>
      <c r="C614" s="3" t="s">
        <v>1750</v>
      </c>
      <c r="D614" s="3" t="e">
        <f t="shared" si="81"/>
        <v>#VALUE!</v>
      </c>
      <c r="E614" t="s">
        <v>1756</v>
      </c>
      <c r="F614" s="4">
        <f t="shared" si="82"/>
        <v>0.33402777777777776</v>
      </c>
      <c r="G614" t="s">
        <v>112</v>
      </c>
      <c r="H614" t="s">
        <v>30</v>
      </c>
      <c r="I614" t="str">
        <f t="shared" si="83"/>
        <v>Data Analyst</v>
      </c>
      <c r="J614" t="s">
        <v>31</v>
      </c>
      <c r="K614" t="s">
        <v>53</v>
      </c>
      <c r="L614">
        <f t="shared" si="84"/>
        <v>20</v>
      </c>
      <c r="M614" t="s">
        <v>108</v>
      </c>
      <c r="N614" t="str">
        <f t="shared" si="85"/>
        <v>Education</v>
      </c>
      <c r="O614" t="s">
        <v>34</v>
      </c>
      <c r="P614" t="str">
        <f t="shared" si="86"/>
        <v>Python</v>
      </c>
      <c r="Q614">
        <v>0</v>
      </c>
      <c r="R614">
        <v>2</v>
      </c>
      <c r="S614">
        <v>3</v>
      </c>
      <c r="T614">
        <v>2</v>
      </c>
      <c r="U614">
        <v>4</v>
      </c>
      <c r="V614">
        <v>2</v>
      </c>
      <c r="W614" t="s">
        <v>85</v>
      </c>
      <c r="X614" t="s">
        <v>70</v>
      </c>
      <c r="Y614" t="s">
        <v>37</v>
      </c>
      <c r="Z614">
        <v>23</v>
      </c>
      <c r="AA614" t="s">
        <v>147</v>
      </c>
      <c r="AB614" t="str">
        <f t="shared" si="87"/>
        <v>India</v>
      </c>
      <c r="AC614" t="s">
        <v>237</v>
      </c>
      <c r="AD614" t="str">
        <f t="shared" si="88"/>
        <v>Bachelors</v>
      </c>
      <c r="AE614" t="s">
        <v>48</v>
      </c>
      <c r="AF614" t="str">
        <f t="shared" si="89"/>
        <v>Asian or Asian American</v>
      </c>
    </row>
    <row r="615" spans="1:32" x14ac:dyDescent="0.45">
      <c r="A615" t="s">
        <v>1757</v>
      </c>
      <c r="B615" t="s">
        <v>25</v>
      </c>
      <c r="C615" s="3" t="s">
        <v>1750</v>
      </c>
      <c r="D615" s="3" t="e">
        <f t="shared" si="81"/>
        <v>#VALUE!</v>
      </c>
      <c r="E615" t="s">
        <v>576</v>
      </c>
      <c r="F615" s="4">
        <f t="shared" si="82"/>
        <v>0.45347222222222222</v>
      </c>
      <c r="G615" t="s">
        <v>141</v>
      </c>
      <c r="H615" t="s">
        <v>30</v>
      </c>
      <c r="I615" t="str">
        <f t="shared" si="83"/>
        <v>Data Analyst</v>
      </c>
      <c r="J615" t="s">
        <v>43</v>
      </c>
      <c r="K615" t="s">
        <v>32</v>
      </c>
      <c r="L615">
        <f t="shared" si="84"/>
        <v>115.5</v>
      </c>
      <c r="M615" t="s">
        <v>103</v>
      </c>
      <c r="N615" t="str">
        <f t="shared" si="85"/>
        <v>Tech</v>
      </c>
      <c r="O615" t="s">
        <v>34</v>
      </c>
      <c r="P615" t="str">
        <f t="shared" si="86"/>
        <v>Python</v>
      </c>
      <c r="Q615">
        <v>8</v>
      </c>
      <c r="R615">
        <v>8</v>
      </c>
      <c r="S615">
        <v>9</v>
      </c>
      <c r="T615">
        <v>8</v>
      </c>
      <c r="U615">
        <v>7</v>
      </c>
      <c r="V615">
        <v>7</v>
      </c>
      <c r="W615" t="s">
        <v>85</v>
      </c>
      <c r="X615" t="s">
        <v>56</v>
      </c>
      <c r="Y615" t="s">
        <v>37</v>
      </c>
      <c r="Z615">
        <v>33</v>
      </c>
      <c r="AA615" t="s">
        <v>38</v>
      </c>
      <c r="AB615" t="str">
        <f t="shared" si="87"/>
        <v>United States</v>
      </c>
      <c r="AC615" t="s">
        <v>240</v>
      </c>
      <c r="AD615" t="str">
        <f t="shared" si="88"/>
        <v>Masters</v>
      </c>
      <c r="AE615" t="s">
        <v>39</v>
      </c>
      <c r="AF615" t="str">
        <f t="shared" si="89"/>
        <v>White or Caucasian</v>
      </c>
    </row>
    <row r="616" spans="1:32" x14ac:dyDescent="0.45">
      <c r="A616" t="s">
        <v>1758</v>
      </c>
      <c r="B616" t="s">
        <v>25</v>
      </c>
      <c r="C616" s="3" t="s">
        <v>1750</v>
      </c>
      <c r="D616" s="3" t="e">
        <f t="shared" si="81"/>
        <v>#VALUE!</v>
      </c>
      <c r="E616" t="s">
        <v>684</v>
      </c>
      <c r="F616" s="4">
        <f t="shared" si="82"/>
        <v>0.50277777777777777</v>
      </c>
      <c r="G616" t="s">
        <v>682</v>
      </c>
      <c r="H616" t="s">
        <v>123</v>
      </c>
      <c r="I616" t="str">
        <f t="shared" si="83"/>
        <v>None</v>
      </c>
      <c r="J616" t="s">
        <v>31</v>
      </c>
      <c r="K616" t="s">
        <v>53</v>
      </c>
      <c r="L616">
        <f t="shared" si="84"/>
        <v>20</v>
      </c>
      <c r="M616" t="s">
        <v>103</v>
      </c>
      <c r="N616" t="str">
        <f t="shared" si="85"/>
        <v>Tech</v>
      </c>
      <c r="O616" t="s">
        <v>34</v>
      </c>
      <c r="P616" t="str">
        <f t="shared" si="86"/>
        <v>Python</v>
      </c>
      <c r="Q616">
        <v>2</v>
      </c>
      <c r="R616">
        <v>3</v>
      </c>
      <c r="S616">
        <v>3</v>
      </c>
      <c r="T616">
        <v>5</v>
      </c>
      <c r="U616">
        <v>5</v>
      </c>
      <c r="V616">
        <v>9</v>
      </c>
      <c r="W616" t="s">
        <v>55</v>
      </c>
      <c r="X616" t="s">
        <v>36</v>
      </c>
      <c r="Y616" t="s">
        <v>37</v>
      </c>
      <c r="Z616">
        <v>26</v>
      </c>
      <c r="AA616" t="s">
        <v>57</v>
      </c>
      <c r="AB616" t="str">
        <f t="shared" si="87"/>
        <v>Other</v>
      </c>
      <c r="AC616" t="s">
        <v>237</v>
      </c>
      <c r="AD616" t="str">
        <f t="shared" si="88"/>
        <v>Bachelors</v>
      </c>
      <c r="AE616" t="s">
        <v>58</v>
      </c>
      <c r="AF616" t="str">
        <f t="shared" si="89"/>
        <v>Black or African American</v>
      </c>
    </row>
    <row r="617" spans="1:32" x14ac:dyDescent="0.45">
      <c r="A617" t="s">
        <v>1759</v>
      </c>
      <c r="B617" t="s">
        <v>25</v>
      </c>
      <c r="C617" s="3" t="s">
        <v>1750</v>
      </c>
      <c r="D617" s="3" t="e">
        <f t="shared" si="81"/>
        <v>#VALUE!</v>
      </c>
      <c r="E617" t="s">
        <v>1269</v>
      </c>
      <c r="F617" s="4">
        <f t="shared" si="82"/>
        <v>0.53472222222222221</v>
      </c>
      <c r="G617" t="s">
        <v>452</v>
      </c>
      <c r="H617" t="s">
        <v>30</v>
      </c>
      <c r="I617" t="str">
        <f t="shared" si="83"/>
        <v>Data Analyst</v>
      </c>
      <c r="J617" t="s">
        <v>31</v>
      </c>
      <c r="K617" t="s">
        <v>53</v>
      </c>
      <c r="L617">
        <f t="shared" si="84"/>
        <v>20</v>
      </c>
      <c r="M617" t="s">
        <v>393</v>
      </c>
      <c r="N617" t="str">
        <f t="shared" si="85"/>
        <v>Other</v>
      </c>
      <c r="O617" t="s">
        <v>46</v>
      </c>
      <c r="P617" t="str">
        <f t="shared" si="86"/>
        <v>R</v>
      </c>
      <c r="Q617">
        <v>3</v>
      </c>
      <c r="R617">
        <v>9</v>
      </c>
      <c r="S617">
        <v>8</v>
      </c>
      <c r="T617">
        <v>8</v>
      </c>
      <c r="U617">
        <v>6</v>
      </c>
      <c r="V617">
        <v>6</v>
      </c>
      <c r="W617" t="s">
        <v>69</v>
      </c>
      <c r="X617" t="s">
        <v>70</v>
      </c>
      <c r="Y617" t="s">
        <v>37</v>
      </c>
      <c r="Z617">
        <v>27</v>
      </c>
      <c r="AA617" t="s">
        <v>147</v>
      </c>
      <c r="AB617" t="str">
        <f t="shared" si="87"/>
        <v>India</v>
      </c>
      <c r="AC617" t="s">
        <v>237</v>
      </c>
      <c r="AD617" t="str">
        <f t="shared" si="88"/>
        <v>Bachelors</v>
      </c>
      <c r="AE617" t="s">
        <v>48</v>
      </c>
      <c r="AF617" t="str">
        <f t="shared" si="89"/>
        <v>Asian or Asian American</v>
      </c>
    </row>
    <row r="618" spans="1:32" x14ac:dyDescent="0.45">
      <c r="A618" t="s">
        <v>1760</v>
      </c>
      <c r="B618" t="s">
        <v>25</v>
      </c>
      <c r="C618" s="3" t="s">
        <v>1750</v>
      </c>
      <c r="D618" s="3" t="e">
        <f t="shared" si="81"/>
        <v>#VALUE!</v>
      </c>
      <c r="E618" t="s">
        <v>1761</v>
      </c>
      <c r="F618" s="4">
        <f t="shared" si="82"/>
        <v>0.58125000000000004</v>
      </c>
      <c r="G618" t="s">
        <v>146</v>
      </c>
      <c r="H618" t="s">
        <v>123</v>
      </c>
      <c r="I618" t="str">
        <f t="shared" si="83"/>
        <v>None</v>
      </c>
      <c r="J618" t="s">
        <v>43</v>
      </c>
      <c r="K618" t="s">
        <v>53</v>
      </c>
      <c r="L618">
        <f t="shared" si="84"/>
        <v>20</v>
      </c>
      <c r="M618" t="s">
        <v>794</v>
      </c>
      <c r="N618" t="str">
        <f t="shared" si="85"/>
        <v>Agriculture</v>
      </c>
      <c r="O618" t="s">
        <v>187</v>
      </c>
      <c r="P618" t="str">
        <f t="shared" si="86"/>
        <v>Other</v>
      </c>
      <c r="Q618">
        <v>0</v>
      </c>
      <c r="R618">
        <v>8</v>
      </c>
      <c r="S618">
        <v>8</v>
      </c>
      <c r="T618">
        <v>8</v>
      </c>
      <c r="U618">
        <v>8</v>
      </c>
      <c r="V618">
        <v>8</v>
      </c>
      <c r="W618" t="s">
        <v>85</v>
      </c>
      <c r="X618" t="s">
        <v>70</v>
      </c>
      <c r="Y618" t="s">
        <v>37</v>
      </c>
      <c r="Z618">
        <v>22</v>
      </c>
      <c r="AA618" t="s">
        <v>1762</v>
      </c>
      <c r="AB618" t="str">
        <f t="shared" si="87"/>
        <v>Other</v>
      </c>
      <c r="AC618" t="s">
        <v>237</v>
      </c>
      <c r="AD618" t="str">
        <f t="shared" si="88"/>
        <v>Bachelors</v>
      </c>
      <c r="AE618" t="s">
        <v>48</v>
      </c>
      <c r="AF618" t="str">
        <f t="shared" si="89"/>
        <v>Asian or Asian American</v>
      </c>
    </row>
    <row r="619" spans="1:32" x14ac:dyDescent="0.45">
      <c r="A619" t="s">
        <v>1763</v>
      </c>
      <c r="B619" t="s">
        <v>25</v>
      </c>
      <c r="C619" s="3" t="s">
        <v>1750</v>
      </c>
      <c r="D619" s="3" t="e">
        <f t="shared" si="81"/>
        <v>#VALUE!</v>
      </c>
      <c r="E619" t="s">
        <v>1764</v>
      </c>
      <c r="F619" s="4">
        <f t="shared" si="82"/>
        <v>0.75694444444444442</v>
      </c>
      <c r="G619" t="s">
        <v>1225</v>
      </c>
      <c r="H619" t="s">
        <v>30</v>
      </c>
      <c r="I619" t="str">
        <f t="shared" si="83"/>
        <v>Data Analyst</v>
      </c>
      <c r="J619" t="s">
        <v>31</v>
      </c>
      <c r="K619" t="s">
        <v>53</v>
      </c>
      <c r="L619">
        <f t="shared" si="84"/>
        <v>20</v>
      </c>
      <c r="M619" t="s">
        <v>103</v>
      </c>
      <c r="N619" t="str">
        <f t="shared" si="85"/>
        <v>Tech</v>
      </c>
      <c r="O619" t="s">
        <v>34</v>
      </c>
      <c r="P619" t="str">
        <f t="shared" si="86"/>
        <v>Python</v>
      </c>
      <c r="Q619">
        <v>3</v>
      </c>
      <c r="R619">
        <v>9</v>
      </c>
      <c r="S619">
        <v>9</v>
      </c>
      <c r="T619">
        <v>6</v>
      </c>
      <c r="U619">
        <v>9</v>
      </c>
      <c r="V619">
        <v>4</v>
      </c>
      <c r="W619" t="s">
        <v>55</v>
      </c>
      <c r="X619" t="s">
        <v>70</v>
      </c>
      <c r="Y619" t="s">
        <v>37</v>
      </c>
      <c r="Z619">
        <v>23</v>
      </c>
      <c r="AA619" t="s">
        <v>207</v>
      </c>
      <c r="AB619" t="str">
        <f t="shared" si="87"/>
        <v>Other</v>
      </c>
      <c r="AC619" t="s">
        <v>240</v>
      </c>
      <c r="AD619" t="str">
        <f t="shared" si="88"/>
        <v>Masters</v>
      </c>
      <c r="AE619" t="s">
        <v>39</v>
      </c>
      <c r="AF619" t="str">
        <f t="shared" si="89"/>
        <v>White or Caucasian</v>
      </c>
    </row>
    <row r="620" spans="1:32" x14ac:dyDescent="0.45">
      <c r="A620" t="s">
        <v>1765</v>
      </c>
      <c r="B620" t="s">
        <v>25</v>
      </c>
      <c r="C620" s="3" t="s">
        <v>1766</v>
      </c>
      <c r="D620" s="3" t="e">
        <f t="shared" si="81"/>
        <v>#VALUE!</v>
      </c>
      <c r="E620" t="s">
        <v>1767</v>
      </c>
      <c r="F620" s="4">
        <f t="shared" si="82"/>
        <v>4.791666666666667E-2</v>
      </c>
      <c r="G620" t="s">
        <v>731</v>
      </c>
      <c r="H620" t="s">
        <v>1768</v>
      </c>
      <c r="I620" t="str">
        <f t="shared" si="83"/>
        <v>Other</v>
      </c>
      <c r="J620" t="s">
        <v>31</v>
      </c>
      <c r="K620" t="s">
        <v>53</v>
      </c>
      <c r="L620">
        <f t="shared" si="84"/>
        <v>20</v>
      </c>
      <c r="M620" t="s">
        <v>1769</v>
      </c>
      <c r="N620" t="str">
        <f t="shared" si="85"/>
        <v>Other</v>
      </c>
      <c r="O620" t="s">
        <v>34</v>
      </c>
      <c r="P620" t="str">
        <f t="shared" si="86"/>
        <v>Python</v>
      </c>
      <c r="Q620">
        <v>3</v>
      </c>
      <c r="R620">
        <v>6</v>
      </c>
      <c r="S620">
        <v>7</v>
      </c>
      <c r="T620">
        <v>5</v>
      </c>
      <c r="U620">
        <v>4</v>
      </c>
      <c r="V620">
        <v>4</v>
      </c>
      <c r="W620" t="s">
        <v>85</v>
      </c>
      <c r="X620" t="s">
        <v>70</v>
      </c>
      <c r="Y620" t="s">
        <v>37</v>
      </c>
      <c r="Z620">
        <v>28</v>
      </c>
      <c r="AA620" t="s">
        <v>347</v>
      </c>
      <c r="AB620" t="str">
        <f t="shared" si="87"/>
        <v>Other</v>
      </c>
      <c r="AC620" t="s">
        <v>237</v>
      </c>
      <c r="AD620" t="str">
        <f t="shared" si="88"/>
        <v>Bachelors</v>
      </c>
      <c r="AE620" t="s">
        <v>91</v>
      </c>
      <c r="AF620" t="str">
        <f t="shared" si="89"/>
        <v>Hispanic or Latino</v>
      </c>
    </row>
    <row r="621" spans="1:32" x14ac:dyDescent="0.45">
      <c r="A621" t="s">
        <v>1770</v>
      </c>
      <c r="B621" t="s">
        <v>25</v>
      </c>
      <c r="C621" s="3" t="s">
        <v>1766</v>
      </c>
      <c r="D621" s="3" t="e">
        <f t="shared" si="81"/>
        <v>#VALUE!</v>
      </c>
      <c r="E621" t="s">
        <v>1771</v>
      </c>
      <c r="F621" s="4">
        <f t="shared" si="82"/>
        <v>0.11874999999999999</v>
      </c>
      <c r="G621" t="s">
        <v>181</v>
      </c>
      <c r="H621" t="s">
        <v>30</v>
      </c>
      <c r="I621" t="str">
        <f t="shared" si="83"/>
        <v>Data Analyst</v>
      </c>
      <c r="J621" t="s">
        <v>43</v>
      </c>
      <c r="K621" t="s">
        <v>44</v>
      </c>
      <c r="L621">
        <f t="shared" si="84"/>
        <v>53</v>
      </c>
      <c r="M621" t="s">
        <v>45</v>
      </c>
      <c r="N621" t="str">
        <f t="shared" si="85"/>
        <v>Finance</v>
      </c>
      <c r="O621" t="s">
        <v>84</v>
      </c>
      <c r="P621" t="str">
        <f t="shared" si="86"/>
        <v>Other</v>
      </c>
      <c r="Q621">
        <v>7</v>
      </c>
      <c r="R621">
        <v>5</v>
      </c>
      <c r="S621">
        <v>4</v>
      </c>
      <c r="T621">
        <v>6</v>
      </c>
      <c r="U621">
        <v>4</v>
      </c>
      <c r="V621">
        <v>5</v>
      </c>
      <c r="W621" t="s">
        <v>55</v>
      </c>
      <c r="X621" t="s">
        <v>56</v>
      </c>
      <c r="Y621" t="s">
        <v>65</v>
      </c>
      <c r="Z621">
        <v>39</v>
      </c>
      <c r="AA621" t="s">
        <v>423</v>
      </c>
      <c r="AB621" t="str">
        <f t="shared" si="87"/>
        <v>Other</v>
      </c>
      <c r="AC621" t="s">
        <v>240</v>
      </c>
      <c r="AD621" t="str">
        <f t="shared" si="88"/>
        <v>Masters</v>
      </c>
      <c r="AE621" t="s">
        <v>39</v>
      </c>
      <c r="AF621" t="str">
        <f t="shared" si="89"/>
        <v>White or Caucasian</v>
      </c>
    </row>
    <row r="622" spans="1:32" x14ac:dyDescent="0.45">
      <c r="A622" t="s">
        <v>1772</v>
      </c>
      <c r="B622" t="s">
        <v>25</v>
      </c>
      <c r="C622" s="3" t="s">
        <v>1766</v>
      </c>
      <c r="D622" s="3" t="e">
        <f t="shared" si="81"/>
        <v>#VALUE!</v>
      </c>
      <c r="E622" t="s">
        <v>1672</v>
      </c>
      <c r="F622" s="4">
        <f t="shared" si="82"/>
        <v>0.64861111111111114</v>
      </c>
      <c r="G622" t="s">
        <v>1335</v>
      </c>
      <c r="H622" t="s">
        <v>1773</v>
      </c>
      <c r="I622" t="str">
        <f t="shared" si="83"/>
        <v>Other</v>
      </c>
      <c r="J622" t="s">
        <v>43</v>
      </c>
      <c r="K622" t="s">
        <v>32</v>
      </c>
      <c r="L622">
        <f t="shared" si="84"/>
        <v>115.5</v>
      </c>
      <c r="M622" t="s">
        <v>1774</v>
      </c>
      <c r="N622" t="str">
        <f t="shared" si="85"/>
        <v>Other</v>
      </c>
      <c r="O622" t="s">
        <v>34</v>
      </c>
      <c r="P622" t="str">
        <f t="shared" si="86"/>
        <v>Python</v>
      </c>
      <c r="Q622">
        <v>3</v>
      </c>
      <c r="R622">
        <v>2</v>
      </c>
      <c r="S622">
        <v>5</v>
      </c>
      <c r="T622">
        <v>3</v>
      </c>
      <c r="U622">
        <v>3</v>
      </c>
      <c r="V622">
        <v>4</v>
      </c>
      <c r="W622" t="s">
        <v>85</v>
      </c>
      <c r="X622" t="s">
        <v>70</v>
      </c>
      <c r="Y622" t="s">
        <v>37</v>
      </c>
      <c r="Z622">
        <v>37</v>
      </c>
      <c r="AA622" t="s">
        <v>38</v>
      </c>
      <c r="AB622" t="str">
        <f t="shared" si="87"/>
        <v>United States</v>
      </c>
      <c r="AC622" t="s">
        <v>240</v>
      </c>
      <c r="AD622" t="str">
        <f t="shared" si="88"/>
        <v>Masters</v>
      </c>
      <c r="AE622" t="s">
        <v>39</v>
      </c>
      <c r="AF622" t="str">
        <f t="shared" si="89"/>
        <v>White or Caucasian</v>
      </c>
    </row>
    <row r="623" spans="1:32" x14ac:dyDescent="0.45">
      <c r="A623" t="s">
        <v>1775</v>
      </c>
      <c r="B623" t="s">
        <v>25</v>
      </c>
      <c r="C623" s="3" t="s">
        <v>1766</v>
      </c>
      <c r="D623" s="3" t="e">
        <f t="shared" si="81"/>
        <v>#VALUE!</v>
      </c>
      <c r="E623" t="s">
        <v>1776</v>
      </c>
      <c r="F623" s="4">
        <f t="shared" si="82"/>
        <v>0.89375000000000004</v>
      </c>
      <c r="G623" t="s">
        <v>186</v>
      </c>
      <c r="H623" t="s">
        <v>790</v>
      </c>
      <c r="I623" t="str">
        <f t="shared" si="83"/>
        <v>Database Developer</v>
      </c>
      <c r="J623" t="s">
        <v>31</v>
      </c>
      <c r="K623" t="s">
        <v>44</v>
      </c>
      <c r="L623">
        <f t="shared" si="84"/>
        <v>53</v>
      </c>
      <c r="M623" t="s">
        <v>108</v>
      </c>
      <c r="N623" t="str">
        <f t="shared" si="85"/>
        <v>Education</v>
      </c>
      <c r="O623" t="s">
        <v>84</v>
      </c>
      <c r="P623" t="str">
        <f t="shared" si="86"/>
        <v>Other</v>
      </c>
      <c r="Q623">
        <v>4</v>
      </c>
      <c r="R623">
        <v>7</v>
      </c>
      <c r="S623">
        <v>7</v>
      </c>
      <c r="T623">
        <v>7</v>
      </c>
      <c r="U623">
        <v>7</v>
      </c>
      <c r="V623">
        <v>7</v>
      </c>
      <c r="W623" t="s">
        <v>69</v>
      </c>
      <c r="X623" t="s">
        <v>70</v>
      </c>
      <c r="Y623" t="s">
        <v>65</v>
      </c>
      <c r="Z623">
        <v>29</v>
      </c>
      <c r="AA623" t="s">
        <v>38</v>
      </c>
      <c r="AB623" t="str">
        <f t="shared" si="87"/>
        <v>United States</v>
      </c>
      <c r="AC623" t="s">
        <v>240</v>
      </c>
      <c r="AD623" t="str">
        <f t="shared" si="88"/>
        <v>Masters</v>
      </c>
      <c r="AE623" t="s">
        <v>39</v>
      </c>
      <c r="AF623" t="str">
        <f t="shared" si="89"/>
        <v>White or Caucasian</v>
      </c>
    </row>
    <row r="624" spans="1:32" x14ac:dyDescent="0.45">
      <c r="A624" t="s">
        <v>1777</v>
      </c>
      <c r="B624" t="s">
        <v>25</v>
      </c>
      <c r="C624" s="3" t="s">
        <v>1778</v>
      </c>
      <c r="D624" s="3" t="e">
        <f t="shared" si="81"/>
        <v>#VALUE!</v>
      </c>
      <c r="E624" t="s">
        <v>1779</v>
      </c>
      <c r="F624" s="4">
        <f t="shared" si="82"/>
        <v>0.25694444444444442</v>
      </c>
      <c r="G624" t="s">
        <v>112</v>
      </c>
      <c r="H624" t="s">
        <v>30</v>
      </c>
      <c r="I624" t="str">
        <f t="shared" si="83"/>
        <v>Data Analyst</v>
      </c>
      <c r="J624" t="s">
        <v>31</v>
      </c>
      <c r="K624" t="s">
        <v>32</v>
      </c>
      <c r="L624">
        <f t="shared" si="84"/>
        <v>115.5</v>
      </c>
      <c r="M624" t="s">
        <v>45</v>
      </c>
      <c r="N624" t="str">
        <f t="shared" si="85"/>
        <v>Finance</v>
      </c>
      <c r="O624" t="s">
        <v>34</v>
      </c>
      <c r="P624" t="str">
        <f t="shared" si="86"/>
        <v>Python</v>
      </c>
      <c r="Q624">
        <v>5</v>
      </c>
      <c r="R624">
        <v>6</v>
      </c>
      <c r="S624">
        <v>6</v>
      </c>
      <c r="T624">
        <v>5</v>
      </c>
      <c r="U624">
        <v>4</v>
      </c>
      <c r="V624">
        <v>3</v>
      </c>
      <c r="W624" t="s">
        <v>55</v>
      </c>
      <c r="X624" t="s">
        <v>56</v>
      </c>
      <c r="Y624" t="s">
        <v>37</v>
      </c>
      <c r="Z624">
        <v>42</v>
      </c>
      <c r="AA624" t="s">
        <v>38</v>
      </c>
      <c r="AB624" t="str">
        <f t="shared" si="87"/>
        <v>United States</v>
      </c>
      <c r="AC624" t="s">
        <v>240</v>
      </c>
      <c r="AD624" t="str">
        <f t="shared" si="88"/>
        <v>Masters</v>
      </c>
      <c r="AE624" t="s">
        <v>39</v>
      </c>
      <c r="AF624" t="str">
        <f t="shared" si="89"/>
        <v>White or Caucasian</v>
      </c>
    </row>
    <row r="625" spans="1:32" x14ac:dyDescent="0.45">
      <c r="A625" t="s">
        <v>1780</v>
      </c>
      <c r="B625" t="s">
        <v>25</v>
      </c>
      <c r="C625" s="3" t="s">
        <v>1778</v>
      </c>
      <c r="D625" s="3" t="e">
        <f t="shared" si="81"/>
        <v>#VALUE!</v>
      </c>
      <c r="E625" t="s">
        <v>1781</v>
      </c>
      <c r="F625" s="4">
        <f t="shared" si="82"/>
        <v>0.56458333333333333</v>
      </c>
      <c r="G625" t="s">
        <v>215</v>
      </c>
      <c r="H625" t="s">
        <v>123</v>
      </c>
      <c r="I625" t="str">
        <f t="shared" si="83"/>
        <v>None</v>
      </c>
      <c r="J625" t="s">
        <v>43</v>
      </c>
      <c r="K625" t="s">
        <v>53</v>
      </c>
      <c r="L625">
        <f t="shared" si="84"/>
        <v>20</v>
      </c>
      <c r="M625" t="s">
        <v>103</v>
      </c>
      <c r="N625" t="str">
        <f t="shared" si="85"/>
        <v>Tech</v>
      </c>
      <c r="O625" t="s">
        <v>46</v>
      </c>
      <c r="P625" t="str">
        <f t="shared" si="86"/>
        <v>R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85</v>
      </c>
      <c r="X625" t="s">
        <v>114</v>
      </c>
      <c r="Y625" t="s">
        <v>65</v>
      </c>
      <c r="Z625">
        <v>25</v>
      </c>
      <c r="AA625" t="s">
        <v>47</v>
      </c>
      <c r="AB625" t="str">
        <f t="shared" si="87"/>
        <v>Canada</v>
      </c>
      <c r="AC625" t="s">
        <v>237</v>
      </c>
      <c r="AD625" t="str">
        <f t="shared" si="88"/>
        <v>Bachelors</v>
      </c>
      <c r="AE625" t="s">
        <v>48</v>
      </c>
      <c r="AF625" t="str">
        <f t="shared" si="89"/>
        <v>Asian or Asian American</v>
      </c>
    </row>
    <row r="626" spans="1:32" x14ac:dyDescent="0.45">
      <c r="A626" t="s">
        <v>1782</v>
      </c>
      <c r="B626" t="s">
        <v>25</v>
      </c>
      <c r="C626" s="3" t="s">
        <v>1783</v>
      </c>
      <c r="D626" s="3" t="e">
        <f t="shared" si="81"/>
        <v>#VALUE!</v>
      </c>
      <c r="E626" t="s">
        <v>1784</v>
      </c>
      <c r="F626" s="4">
        <f t="shared" si="82"/>
        <v>0.26944444444444443</v>
      </c>
      <c r="G626" t="s">
        <v>154</v>
      </c>
      <c r="H626" t="s">
        <v>790</v>
      </c>
      <c r="I626" t="str">
        <f t="shared" si="83"/>
        <v>Database Developer</v>
      </c>
      <c r="J626" t="s">
        <v>31</v>
      </c>
      <c r="K626" t="s">
        <v>53</v>
      </c>
      <c r="L626">
        <f t="shared" si="84"/>
        <v>20</v>
      </c>
      <c r="M626" t="s">
        <v>90</v>
      </c>
      <c r="N626" t="str">
        <f t="shared" si="85"/>
        <v>Telecommunication</v>
      </c>
      <c r="O626" t="s">
        <v>34</v>
      </c>
      <c r="P626" t="str">
        <f t="shared" si="86"/>
        <v>Python</v>
      </c>
      <c r="Q626">
        <v>5</v>
      </c>
      <c r="R626">
        <v>5</v>
      </c>
      <c r="S626">
        <v>5</v>
      </c>
      <c r="T626">
        <v>5</v>
      </c>
      <c r="U626">
        <v>4</v>
      </c>
      <c r="V626">
        <v>5</v>
      </c>
      <c r="W626" t="s">
        <v>55</v>
      </c>
      <c r="X626" t="s">
        <v>70</v>
      </c>
      <c r="Y626" t="s">
        <v>37</v>
      </c>
      <c r="Z626">
        <v>66</v>
      </c>
      <c r="AA626" t="s">
        <v>1785</v>
      </c>
      <c r="AB626" t="str">
        <f t="shared" si="87"/>
        <v>Other</v>
      </c>
      <c r="AC626" t="s">
        <v>227</v>
      </c>
      <c r="AD626" t="str">
        <f t="shared" si="88"/>
        <v>High School</v>
      </c>
      <c r="AE626" t="s">
        <v>58</v>
      </c>
      <c r="AF626" t="str">
        <f t="shared" si="89"/>
        <v>Black or African American</v>
      </c>
    </row>
    <row r="627" spans="1:32" x14ac:dyDescent="0.45">
      <c r="A627" t="s">
        <v>1786</v>
      </c>
      <c r="B627" t="s">
        <v>25</v>
      </c>
      <c r="C627" s="3" t="s">
        <v>1783</v>
      </c>
      <c r="D627" s="3" t="e">
        <f t="shared" si="81"/>
        <v>#VALUE!</v>
      </c>
      <c r="E627" t="s">
        <v>1787</v>
      </c>
      <c r="F627" s="4">
        <f t="shared" si="82"/>
        <v>0.94791666666666663</v>
      </c>
      <c r="G627" t="s">
        <v>1563</v>
      </c>
      <c r="H627" t="s">
        <v>30</v>
      </c>
      <c r="I627" t="str">
        <f t="shared" si="83"/>
        <v>Data Analyst</v>
      </c>
      <c r="J627" t="s">
        <v>31</v>
      </c>
      <c r="K627" t="s">
        <v>82</v>
      </c>
      <c r="L627">
        <f t="shared" si="84"/>
        <v>137.5</v>
      </c>
      <c r="M627" t="s">
        <v>83</v>
      </c>
      <c r="N627" t="str">
        <f t="shared" si="85"/>
        <v>Other</v>
      </c>
      <c r="O627" t="s">
        <v>46</v>
      </c>
      <c r="P627" t="str">
        <f t="shared" si="86"/>
        <v>R</v>
      </c>
      <c r="Q627">
        <v>8</v>
      </c>
      <c r="R627">
        <v>5</v>
      </c>
      <c r="S627">
        <v>6</v>
      </c>
      <c r="T627">
        <v>6</v>
      </c>
      <c r="U627">
        <v>5</v>
      </c>
      <c r="V627">
        <v>7</v>
      </c>
      <c r="W627" t="s">
        <v>55</v>
      </c>
      <c r="X627" t="s">
        <v>70</v>
      </c>
      <c r="Y627" t="s">
        <v>37</v>
      </c>
      <c r="Z627">
        <v>26</v>
      </c>
      <c r="AA627" t="s">
        <v>38</v>
      </c>
      <c r="AB627" t="str">
        <f t="shared" si="87"/>
        <v>United States</v>
      </c>
      <c r="AC627" t="s">
        <v>237</v>
      </c>
      <c r="AD627" t="str">
        <f t="shared" si="88"/>
        <v>Bachelors</v>
      </c>
      <c r="AE627" t="s">
        <v>39</v>
      </c>
      <c r="AF627" t="str">
        <f t="shared" si="89"/>
        <v>White or Caucasian</v>
      </c>
    </row>
    <row r="628" spans="1:32" x14ac:dyDescent="0.45">
      <c r="A628" t="s">
        <v>1788</v>
      </c>
      <c r="B628" t="s">
        <v>25</v>
      </c>
      <c r="C628" s="3" t="s">
        <v>1789</v>
      </c>
      <c r="D628" s="3" t="e">
        <f t="shared" si="81"/>
        <v>#VALUE!</v>
      </c>
      <c r="E628" t="s">
        <v>1790</v>
      </c>
      <c r="F628" s="4">
        <f t="shared" si="82"/>
        <v>0.32291666666666669</v>
      </c>
      <c r="G628" t="s">
        <v>1242</v>
      </c>
      <c r="H628" t="s">
        <v>1791</v>
      </c>
      <c r="I628" t="str">
        <f t="shared" si="83"/>
        <v>Other</v>
      </c>
      <c r="J628" t="s">
        <v>43</v>
      </c>
      <c r="K628" t="s">
        <v>53</v>
      </c>
      <c r="L628">
        <f t="shared" si="84"/>
        <v>20</v>
      </c>
      <c r="M628" t="s">
        <v>491</v>
      </c>
      <c r="N628" t="str">
        <f t="shared" si="85"/>
        <v>Other</v>
      </c>
      <c r="O628" t="s">
        <v>46</v>
      </c>
      <c r="P628" t="str">
        <f t="shared" si="86"/>
        <v>R</v>
      </c>
      <c r="Q628">
        <v>4</v>
      </c>
      <c r="R628">
        <v>6</v>
      </c>
      <c r="S628">
        <v>7</v>
      </c>
      <c r="T628">
        <v>7</v>
      </c>
      <c r="U628">
        <v>4</v>
      </c>
      <c r="V628">
        <v>6</v>
      </c>
      <c r="W628" t="s">
        <v>69</v>
      </c>
      <c r="X628" t="s">
        <v>70</v>
      </c>
      <c r="Y628" t="s">
        <v>37</v>
      </c>
      <c r="Z628">
        <v>21</v>
      </c>
      <c r="AA628" t="s">
        <v>38</v>
      </c>
      <c r="AB628" t="str">
        <f t="shared" si="87"/>
        <v>United States</v>
      </c>
      <c r="AC628" t="s">
        <v>237</v>
      </c>
      <c r="AD628" t="str">
        <f t="shared" si="88"/>
        <v>Bachelors</v>
      </c>
      <c r="AE628" t="s">
        <v>39</v>
      </c>
      <c r="AF628" t="str">
        <f t="shared" si="89"/>
        <v>White or Caucasian</v>
      </c>
    </row>
    <row r="629" spans="1:32" x14ac:dyDescent="0.45">
      <c r="A629" t="s">
        <v>1792</v>
      </c>
      <c r="B629" t="s">
        <v>25</v>
      </c>
      <c r="C629" s="3" t="s">
        <v>1793</v>
      </c>
      <c r="D629" s="3" t="e">
        <f t="shared" si="81"/>
        <v>#VALUE!</v>
      </c>
      <c r="E629" t="s">
        <v>418</v>
      </c>
      <c r="F629" s="4">
        <f t="shared" si="82"/>
        <v>0.40347222222222223</v>
      </c>
      <c r="G629" t="s">
        <v>1794</v>
      </c>
      <c r="H629" t="s">
        <v>123</v>
      </c>
      <c r="I629" t="str">
        <f t="shared" si="83"/>
        <v>None</v>
      </c>
      <c r="J629" t="s">
        <v>31</v>
      </c>
      <c r="K629" t="s">
        <v>53</v>
      </c>
      <c r="L629">
        <f t="shared" si="84"/>
        <v>20</v>
      </c>
      <c r="M629" t="s">
        <v>103</v>
      </c>
      <c r="N629" t="str">
        <f t="shared" si="85"/>
        <v>Tech</v>
      </c>
      <c r="O629" t="s">
        <v>34</v>
      </c>
      <c r="P629" t="str">
        <f t="shared" si="86"/>
        <v>Python</v>
      </c>
      <c r="Q629">
        <v>1</v>
      </c>
      <c r="R629">
        <v>2</v>
      </c>
      <c r="S629">
        <v>1</v>
      </c>
      <c r="T629">
        <v>2</v>
      </c>
      <c r="U629">
        <v>1</v>
      </c>
      <c r="V629">
        <v>2</v>
      </c>
      <c r="W629" t="s">
        <v>69</v>
      </c>
      <c r="X629" t="s">
        <v>70</v>
      </c>
      <c r="Y629" t="s">
        <v>37</v>
      </c>
      <c r="Z629">
        <v>26</v>
      </c>
      <c r="AA629" t="s">
        <v>1795</v>
      </c>
      <c r="AB629" t="str">
        <f t="shared" si="87"/>
        <v>Other</v>
      </c>
      <c r="AC629" t="s">
        <v>237</v>
      </c>
      <c r="AD629" t="str">
        <f t="shared" si="88"/>
        <v>Bachelors</v>
      </c>
      <c r="AE629" t="s">
        <v>48</v>
      </c>
      <c r="AF629" t="str">
        <f t="shared" si="89"/>
        <v>Asian or Asian American</v>
      </c>
    </row>
    <row r="630" spans="1:32" x14ac:dyDescent="0.45">
      <c r="A630" t="s">
        <v>1796</v>
      </c>
      <c r="B630" t="s">
        <v>25</v>
      </c>
      <c r="C630" s="3" t="s">
        <v>1793</v>
      </c>
      <c r="D630" s="3" t="e">
        <f t="shared" si="81"/>
        <v>#VALUE!</v>
      </c>
      <c r="E630" t="s">
        <v>1331</v>
      </c>
      <c r="F630" s="4">
        <f t="shared" si="82"/>
        <v>0.79583333333333328</v>
      </c>
      <c r="G630" t="s">
        <v>313</v>
      </c>
      <c r="H630" t="s">
        <v>52</v>
      </c>
      <c r="I630" t="str">
        <f t="shared" si="83"/>
        <v>Data Engineer</v>
      </c>
      <c r="J630" t="s">
        <v>43</v>
      </c>
      <c r="K630" t="s">
        <v>53</v>
      </c>
      <c r="L630">
        <f t="shared" si="84"/>
        <v>20</v>
      </c>
      <c r="M630" t="s">
        <v>103</v>
      </c>
      <c r="N630" t="str">
        <f t="shared" si="85"/>
        <v>Tech</v>
      </c>
      <c r="O630" t="s">
        <v>34</v>
      </c>
      <c r="P630" t="str">
        <f t="shared" si="86"/>
        <v>Python</v>
      </c>
      <c r="Q630">
        <v>6</v>
      </c>
      <c r="R630">
        <v>6</v>
      </c>
      <c r="S630">
        <v>6</v>
      </c>
      <c r="T630">
        <v>6</v>
      </c>
      <c r="U630">
        <v>4</v>
      </c>
      <c r="V630">
        <v>3</v>
      </c>
      <c r="W630" t="s">
        <v>55</v>
      </c>
      <c r="X630" t="s">
        <v>1797</v>
      </c>
      <c r="Y630" t="s">
        <v>37</v>
      </c>
      <c r="Z630">
        <v>24</v>
      </c>
      <c r="AA630" t="s">
        <v>403</v>
      </c>
      <c r="AB630" t="str">
        <f t="shared" si="87"/>
        <v>Other</v>
      </c>
      <c r="AC630" t="s">
        <v>237</v>
      </c>
      <c r="AD630" t="str">
        <f t="shared" si="88"/>
        <v>Bachelors</v>
      </c>
      <c r="AE630" t="s">
        <v>91</v>
      </c>
      <c r="AF630" t="str">
        <f t="shared" si="89"/>
        <v>Hispanic or Latino</v>
      </c>
    </row>
    <row r="631" spans="1:32" x14ac:dyDescent="0.45">
      <c r="A631" t="s">
        <v>1798</v>
      </c>
      <c r="B631" t="s">
        <v>25</v>
      </c>
      <c r="C631" s="3" t="s">
        <v>1799</v>
      </c>
      <c r="D631" s="3" t="e">
        <f t="shared" si="81"/>
        <v>#VALUE!</v>
      </c>
      <c r="E631" t="s">
        <v>730</v>
      </c>
      <c r="F631" s="4">
        <f t="shared" si="82"/>
        <v>0.54027777777777775</v>
      </c>
      <c r="G631" t="s">
        <v>322</v>
      </c>
      <c r="H631" t="s">
        <v>30</v>
      </c>
      <c r="I631" t="str">
        <f t="shared" si="83"/>
        <v>Data Analyst</v>
      </c>
      <c r="J631" t="s">
        <v>43</v>
      </c>
      <c r="K631" t="s">
        <v>44</v>
      </c>
      <c r="L631">
        <f t="shared" si="84"/>
        <v>53</v>
      </c>
      <c r="M631" t="s">
        <v>178</v>
      </c>
      <c r="N631" t="str">
        <f t="shared" si="85"/>
        <v>Other</v>
      </c>
      <c r="O631" t="s">
        <v>34</v>
      </c>
      <c r="P631" t="str">
        <f t="shared" si="86"/>
        <v>Python</v>
      </c>
      <c r="Q631">
        <v>8</v>
      </c>
      <c r="R631">
        <v>7</v>
      </c>
      <c r="S631">
        <v>6</v>
      </c>
      <c r="T631">
        <v>7</v>
      </c>
      <c r="U631">
        <v>6</v>
      </c>
      <c r="V631">
        <v>8</v>
      </c>
      <c r="W631" t="s">
        <v>55</v>
      </c>
      <c r="X631" t="s">
        <v>36</v>
      </c>
      <c r="Y631" t="s">
        <v>37</v>
      </c>
      <c r="Z631">
        <v>22</v>
      </c>
      <c r="AA631" t="s">
        <v>38</v>
      </c>
      <c r="AB631" t="str">
        <f t="shared" si="87"/>
        <v>United States</v>
      </c>
      <c r="AC631" t="s">
        <v>237</v>
      </c>
      <c r="AD631" t="str">
        <f t="shared" si="88"/>
        <v>Bachelors</v>
      </c>
      <c r="AE631" t="s">
        <v>48</v>
      </c>
      <c r="AF631" t="str">
        <f t="shared" si="89"/>
        <v>Asian or Asian American</v>
      </c>
    </row>
  </sheetData>
  <autoFilter ref="A1:AE1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DPS</vt:lpstr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2026-05-19T16:37:19Z</dcterms:modified>
  <cp:category/>
</cp:coreProperties>
</file>